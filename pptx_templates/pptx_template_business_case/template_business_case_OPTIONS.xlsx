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alexandrahazardkampmann/Desktop/SLIDEWORKS/9. Slideworks - Simple Business Case/Template files/Excel files/"/>
    </mc:Choice>
  </mc:AlternateContent>
  <xr:revisionPtr revIDLastSave="0" documentId="13_ncr:1_{23A8470D-DBFD-0148-A91C-569A1C6FDFF5}" xr6:coauthVersionLast="47" xr6:coauthVersionMax="47" xr10:uidLastSave="{00000000-0000-0000-0000-000000000000}"/>
  <bookViews>
    <workbookView xWindow="2000" yWindow="500" windowWidth="25320" windowHeight="17500" activeTab="2" xr2:uid="{B0BA7C79-419B-DD49-8179-12D30A49F8F4}"/>
  </bookViews>
  <sheets>
    <sheet name="Slideworks guide" sheetId="11" r:id="rId1"/>
    <sheet name="Project overview" sheetId="10" r:id="rId2"/>
    <sheet name="Options comparison" sheetId="4" r:id="rId3"/>
    <sheet name="Option 1" sheetId="5" r:id="rId4"/>
    <sheet name="Option 2" sheetId="12" r:id="rId5"/>
    <sheet name="Option 3" sheetId="13" r:id="rId6"/>
  </sheets>
  <definedNames>
    <definedName name="_xlnm.Print_Area" localSheetId="3">'Option 1'!$B$1:$L$199</definedName>
    <definedName name="_xlnm.Print_Area" localSheetId="4">'Option 2'!$B$1:$L$199</definedName>
    <definedName name="_xlnm.Print_Area" localSheetId="5">'Option 3'!$B$1:$L$199</definedName>
    <definedName name="_xlnm.Print_Area" localSheetId="2">'Options comparison'!$B$1:$I$36</definedName>
    <definedName name="Z_52030E12_C441_4ADC_B0F0_41E6EF72BD3A_.wvu.PrintArea" localSheetId="3" hidden="1">'Option 1'!$B$5:$L$180</definedName>
    <definedName name="Z_52030E12_C441_4ADC_B0F0_41E6EF72BD3A_.wvu.PrintArea" localSheetId="4" hidden="1">'Option 2'!$B$5:$L$180</definedName>
    <definedName name="Z_52030E12_C441_4ADC_B0F0_41E6EF72BD3A_.wvu.PrintArea" localSheetId="5" hidden="1">'Option 3'!$B$5:$L$180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6" i="4" l="1"/>
  <c r="H36" i="4"/>
  <c r="G36" i="4"/>
  <c r="F36" i="4"/>
  <c r="E36" i="4"/>
  <c r="D36" i="4"/>
  <c r="I35" i="4"/>
  <c r="H35" i="4"/>
  <c r="G35" i="4"/>
  <c r="F35" i="4"/>
  <c r="E35" i="4"/>
  <c r="D35" i="4"/>
  <c r="C36" i="4"/>
  <c r="C35" i="4"/>
  <c r="I34" i="4"/>
  <c r="H34" i="4"/>
  <c r="G34" i="4"/>
  <c r="F34" i="4"/>
  <c r="E34" i="4"/>
  <c r="D34" i="4"/>
  <c r="C34" i="4"/>
  <c r="H31" i="4"/>
  <c r="G31" i="4"/>
  <c r="F31" i="4"/>
  <c r="E31" i="4"/>
  <c r="D31" i="4"/>
  <c r="C31" i="4"/>
  <c r="H30" i="4"/>
  <c r="G30" i="4"/>
  <c r="F30" i="4"/>
  <c r="E30" i="4"/>
  <c r="D30" i="4"/>
  <c r="C30" i="4"/>
  <c r="H29" i="4"/>
  <c r="G29" i="4"/>
  <c r="F29" i="4"/>
  <c r="E29" i="4"/>
  <c r="D29" i="4"/>
  <c r="C29" i="4"/>
  <c r="H26" i="4"/>
  <c r="H25" i="4"/>
  <c r="G26" i="4"/>
  <c r="G25" i="4"/>
  <c r="F26" i="4"/>
  <c r="F25" i="4"/>
  <c r="E26" i="4"/>
  <c r="E25" i="4"/>
  <c r="D26" i="4"/>
  <c r="D25" i="4"/>
  <c r="C26" i="4"/>
  <c r="C25" i="4"/>
  <c r="H24" i="4"/>
  <c r="G24" i="4"/>
  <c r="F24" i="4"/>
  <c r="E24" i="4"/>
  <c r="D24" i="4"/>
  <c r="C24" i="4"/>
  <c r="B24" i="4"/>
  <c r="G8" i="4"/>
  <c r="G7" i="4"/>
  <c r="F8" i="4"/>
  <c r="F7" i="4"/>
  <c r="E8" i="4"/>
  <c r="E7" i="4"/>
  <c r="D8" i="4"/>
  <c r="D7" i="4"/>
  <c r="C8" i="4"/>
  <c r="C7" i="4"/>
  <c r="B8" i="4"/>
  <c r="B31" i="4" s="1"/>
  <c r="H8" i="4"/>
  <c r="H7" i="4"/>
  <c r="B6" i="4"/>
  <c r="H6" i="4"/>
  <c r="G6" i="4"/>
  <c r="F6" i="4"/>
  <c r="E6" i="4"/>
  <c r="D6" i="4"/>
  <c r="C6" i="4"/>
  <c r="C176" i="13"/>
  <c r="C175" i="13"/>
  <c r="C177" i="13" s="1"/>
  <c r="H174" i="13"/>
  <c r="G174" i="13"/>
  <c r="F174" i="13"/>
  <c r="E174" i="13"/>
  <c r="D174" i="13"/>
  <c r="C174" i="13"/>
  <c r="C171" i="13"/>
  <c r="C75" i="13" s="1"/>
  <c r="G167" i="13"/>
  <c r="G161" i="13"/>
  <c r="D143" i="13"/>
  <c r="C143" i="13"/>
  <c r="C108" i="13"/>
  <c r="C114" i="13" s="1"/>
  <c r="C106" i="13"/>
  <c r="G101" i="13"/>
  <c r="G113" i="13" s="1"/>
  <c r="F101" i="13"/>
  <c r="F161" i="13" s="1"/>
  <c r="F167" i="13" s="1"/>
  <c r="E101" i="13"/>
  <c r="E161" i="13" s="1"/>
  <c r="E167" i="13" s="1"/>
  <c r="H99" i="13"/>
  <c r="H101" i="13" s="1"/>
  <c r="G99" i="13"/>
  <c r="F99" i="13"/>
  <c r="E99" i="13"/>
  <c r="D99" i="13"/>
  <c r="D101" i="13" s="1"/>
  <c r="C99" i="13"/>
  <c r="C101" i="13" s="1"/>
  <c r="C82" i="13"/>
  <c r="C74" i="13"/>
  <c r="C81" i="13" s="1"/>
  <c r="D70" i="13"/>
  <c r="C70" i="13"/>
  <c r="F56" i="13"/>
  <c r="G56" i="13" s="1"/>
  <c r="H56" i="13" s="1"/>
  <c r="E56" i="13"/>
  <c r="E55" i="13"/>
  <c r="F55" i="13" s="1"/>
  <c r="G55" i="13" s="1"/>
  <c r="H55" i="13" s="1"/>
  <c r="E54" i="13"/>
  <c r="F54" i="13" s="1"/>
  <c r="H49" i="13"/>
  <c r="G49" i="13"/>
  <c r="F49" i="13"/>
  <c r="E49" i="13"/>
  <c r="D49" i="13"/>
  <c r="C49" i="13"/>
  <c r="C72" i="13" s="1"/>
  <c r="H44" i="13"/>
  <c r="C44" i="13"/>
  <c r="H43" i="13"/>
  <c r="H175" i="13" s="1"/>
  <c r="G43" i="13"/>
  <c r="F43" i="13"/>
  <c r="E43" i="13"/>
  <c r="E176" i="13" s="1"/>
  <c r="D43" i="13"/>
  <c r="D176" i="13" s="1"/>
  <c r="D14" i="13"/>
  <c r="E13" i="13"/>
  <c r="D12" i="13"/>
  <c r="C12" i="13"/>
  <c r="C4" i="13"/>
  <c r="D176" i="12"/>
  <c r="C176" i="12"/>
  <c r="D175" i="12"/>
  <c r="C175" i="12"/>
  <c r="H174" i="12"/>
  <c r="G174" i="12"/>
  <c r="F174" i="12"/>
  <c r="E174" i="12"/>
  <c r="D174" i="12"/>
  <c r="D177" i="12" s="1"/>
  <c r="C174" i="12"/>
  <c r="C177" i="12" s="1"/>
  <c r="C171" i="12"/>
  <c r="H167" i="12"/>
  <c r="G167" i="12"/>
  <c r="H161" i="12"/>
  <c r="G161" i="12"/>
  <c r="F161" i="12"/>
  <c r="F167" i="12" s="1"/>
  <c r="E143" i="12"/>
  <c r="D143" i="12"/>
  <c r="C143" i="12"/>
  <c r="C108" i="12"/>
  <c r="C114" i="12" s="1"/>
  <c r="C106" i="12"/>
  <c r="H101" i="12"/>
  <c r="H113" i="12" s="1"/>
  <c r="G101" i="12"/>
  <c r="G113" i="12" s="1"/>
  <c r="F101" i="12"/>
  <c r="F113" i="12" s="1"/>
  <c r="E101" i="12"/>
  <c r="E161" i="12" s="1"/>
  <c r="E167" i="12" s="1"/>
  <c r="H99" i="12"/>
  <c r="G99" i="12"/>
  <c r="F99" i="12"/>
  <c r="E99" i="12"/>
  <c r="D99" i="12"/>
  <c r="D101" i="12" s="1"/>
  <c r="C99" i="12"/>
  <c r="C101" i="12" s="1"/>
  <c r="C82" i="12"/>
  <c r="C75" i="12"/>
  <c r="C74" i="12"/>
  <c r="C81" i="12" s="1"/>
  <c r="D70" i="12"/>
  <c r="C70" i="12"/>
  <c r="E56" i="12"/>
  <c r="F56" i="12" s="1"/>
  <c r="G56" i="12" s="1"/>
  <c r="H56" i="12" s="1"/>
  <c r="E55" i="12"/>
  <c r="F55" i="12" s="1"/>
  <c r="G55" i="12" s="1"/>
  <c r="H55" i="12" s="1"/>
  <c r="E54" i="12"/>
  <c r="H49" i="12"/>
  <c r="G49" i="12"/>
  <c r="F49" i="12"/>
  <c r="E49" i="12"/>
  <c r="D49" i="12"/>
  <c r="C49" i="12"/>
  <c r="C72" i="12" s="1"/>
  <c r="C76" i="12" s="1"/>
  <c r="H44" i="12"/>
  <c r="G44" i="12"/>
  <c r="D44" i="12"/>
  <c r="C44" i="12"/>
  <c r="H43" i="12"/>
  <c r="H175" i="12" s="1"/>
  <c r="G43" i="12"/>
  <c r="G176" i="12" s="1"/>
  <c r="F43" i="12"/>
  <c r="F44" i="12" s="1"/>
  <c r="E43" i="12"/>
  <c r="E44" i="12" s="1"/>
  <c r="D43" i="12"/>
  <c r="D14" i="12"/>
  <c r="E13" i="12"/>
  <c r="F13" i="12" s="1"/>
  <c r="E12" i="12"/>
  <c r="D12" i="12"/>
  <c r="C12" i="12"/>
  <c r="C4" i="12"/>
  <c r="B7" i="4" s="1"/>
  <c r="F56" i="5"/>
  <c r="G56" i="5" s="1"/>
  <c r="H56" i="5" s="1"/>
  <c r="E56" i="5"/>
  <c r="F55" i="5"/>
  <c r="G55" i="5" s="1"/>
  <c r="H55" i="5" s="1"/>
  <c r="E55" i="5"/>
  <c r="F54" i="5"/>
  <c r="G54" i="5" s="1"/>
  <c r="H54" i="5" s="1"/>
  <c r="E54" i="5"/>
  <c r="C4" i="5"/>
  <c r="H49" i="5"/>
  <c r="G49" i="5"/>
  <c r="F49" i="5"/>
  <c r="E49" i="5"/>
  <c r="D49" i="5"/>
  <c r="C49" i="5"/>
  <c r="C44" i="5"/>
  <c r="C82" i="5"/>
  <c r="C74" i="5"/>
  <c r="C81" i="5" s="1"/>
  <c r="C70" i="5"/>
  <c r="D143" i="5"/>
  <c r="C143" i="5"/>
  <c r="C176" i="5"/>
  <c r="C175" i="5"/>
  <c r="H99" i="5"/>
  <c r="H101" i="5" s="1"/>
  <c r="G99" i="5"/>
  <c r="G101" i="5" s="1"/>
  <c r="F99" i="5"/>
  <c r="F101" i="5" s="1"/>
  <c r="E99" i="5"/>
  <c r="E101" i="5" s="1"/>
  <c r="D99" i="5"/>
  <c r="D101" i="5" s="1"/>
  <c r="C99" i="5"/>
  <c r="C101" i="5" s="1"/>
  <c r="D12" i="5"/>
  <c r="E13" i="5"/>
  <c r="E12" i="5" s="1"/>
  <c r="C12" i="5"/>
  <c r="B36" i="4" l="1"/>
  <c r="B26" i="4"/>
  <c r="B30" i="4"/>
  <c r="B35" i="4"/>
  <c r="B25" i="4"/>
  <c r="E70" i="12"/>
  <c r="D72" i="12"/>
  <c r="D44" i="13"/>
  <c r="D72" i="13" s="1"/>
  <c r="D175" i="13"/>
  <c r="D177" i="13" s="1"/>
  <c r="D178" i="13" s="1"/>
  <c r="D82" i="13" s="1"/>
  <c r="F70" i="13"/>
  <c r="G54" i="13"/>
  <c r="H113" i="13"/>
  <c r="H161" i="13"/>
  <c r="H167" i="13" s="1"/>
  <c r="F13" i="13"/>
  <c r="E143" i="13"/>
  <c r="G175" i="13"/>
  <c r="G176" i="13"/>
  <c r="E113" i="13"/>
  <c r="E12" i="13"/>
  <c r="C113" i="13"/>
  <c r="C161" i="13"/>
  <c r="F113" i="13"/>
  <c r="G44" i="13"/>
  <c r="C76" i="13"/>
  <c r="E70" i="13"/>
  <c r="E44" i="13"/>
  <c r="E175" i="13"/>
  <c r="E177" i="13" s="1"/>
  <c r="D113" i="13"/>
  <c r="D161" i="13"/>
  <c r="D167" i="13" s="1"/>
  <c r="F44" i="13"/>
  <c r="F175" i="13"/>
  <c r="F176" i="13"/>
  <c r="H176" i="13"/>
  <c r="H177" i="13" s="1"/>
  <c r="G13" i="12"/>
  <c r="F143" i="12"/>
  <c r="F12" i="12"/>
  <c r="C113" i="12"/>
  <c r="C161" i="12"/>
  <c r="D113" i="12"/>
  <c r="D161" i="12"/>
  <c r="D167" i="12" s="1"/>
  <c r="E72" i="12"/>
  <c r="C78" i="12"/>
  <c r="C79" i="12"/>
  <c r="C83" i="12" s="1"/>
  <c r="C112" i="12" s="1"/>
  <c r="C115" i="12" s="1"/>
  <c r="D178" i="12"/>
  <c r="D82" i="12" s="1"/>
  <c r="F54" i="12"/>
  <c r="E176" i="12"/>
  <c r="E177" i="12" s="1"/>
  <c r="E178" i="12" s="1"/>
  <c r="E82" i="12" s="1"/>
  <c r="E14" i="12"/>
  <c r="F175" i="12"/>
  <c r="H176" i="12"/>
  <c r="H177" i="12" s="1"/>
  <c r="H178" i="12" s="1"/>
  <c r="H82" i="12" s="1"/>
  <c r="F176" i="12"/>
  <c r="G175" i="12"/>
  <c r="G177" i="12" s="1"/>
  <c r="E113" i="12"/>
  <c r="E175" i="12"/>
  <c r="C72" i="5"/>
  <c r="E143" i="5"/>
  <c r="F13" i="5"/>
  <c r="F12" i="5" s="1"/>
  <c r="D14" i="5"/>
  <c r="C174" i="5"/>
  <c r="H174" i="5"/>
  <c r="C106" i="5"/>
  <c r="C108" i="5" s="1"/>
  <c r="F72" i="13" l="1"/>
  <c r="E72" i="13"/>
  <c r="G177" i="13"/>
  <c r="H178" i="13" s="1"/>
  <c r="H82" i="13" s="1"/>
  <c r="E178" i="13"/>
  <c r="E82" i="13" s="1"/>
  <c r="G13" i="13"/>
  <c r="F143" i="13"/>
  <c r="F12" i="13"/>
  <c r="F14" i="13"/>
  <c r="E14" i="13"/>
  <c r="C78" i="13"/>
  <c r="C79" i="13" s="1"/>
  <c r="C83" i="13" s="1"/>
  <c r="C112" i="13" s="1"/>
  <c r="C115" i="13" s="1"/>
  <c r="H54" i="13"/>
  <c r="H70" i="13" s="1"/>
  <c r="H72" i="13" s="1"/>
  <c r="G70" i="13"/>
  <c r="C167" i="13"/>
  <c r="C163" i="13"/>
  <c r="D160" i="13" s="1"/>
  <c r="F177" i="13"/>
  <c r="F178" i="13" s="1"/>
  <c r="F82" i="13" s="1"/>
  <c r="G72" i="13"/>
  <c r="C144" i="12"/>
  <c r="C117" i="12"/>
  <c r="F177" i="12"/>
  <c r="F178" i="12" s="1"/>
  <c r="F82" i="12" s="1"/>
  <c r="C163" i="12"/>
  <c r="D160" i="12" s="1"/>
  <c r="C167" i="12"/>
  <c r="F70" i="12"/>
  <c r="F72" i="12" s="1"/>
  <c r="G54" i="12"/>
  <c r="F14" i="12"/>
  <c r="H13" i="12"/>
  <c r="G12" i="12"/>
  <c r="G143" i="12"/>
  <c r="G13" i="5"/>
  <c r="F143" i="5"/>
  <c r="C144" i="13" l="1"/>
  <c r="C117" i="13"/>
  <c r="G178" i="13"/>
  <c r="G82" i="13" s="1"/>
  <c r="D162" i="13"/>
  <c r="D74" i="13" s="1"/>
  <c r="D163" i="13"/>
  <c r="E160" i="13" s="1"/>
  <c r="C169" i="13"/>
  <c r="D166" i="13" s="1"/>
  <c r="G168" i="13"/>
  <c r="G106" i="13" s="1"/>
  <c r="G108" i="13" s="1"/>
  <c r="G114" i="13" s="1"/>
  <c r="H168" i="13"/>
  <c r="H106" i="13" s="1"/>
  <c r="H108" i="13" s="1"/>
  <c r="H114" i="13" s="1"/>
  <c r="F168" i="13"/>
  <c r="F106" i="13" s="1"/>
  <c r="F108" i="13" s="1"/>
  <c r="F114" i="13" s="1"/>
  <c r="E168" i="13"/>
  <c r="E106" i="13" s="1"/>
  <c r="E108" i="13" s="1"/>
  <c r="E114" i="13" s="1"/>
  <c r="D168" i="13"/>
  <c r="D106" i="13" s="1"/>
  <c r="D108" i="13" s="1"/>
  <c r="D114" i="13" s="1"/>
  <c r="G143" i="13"/>
  <c r="G12" i="13"/>
  <c r="H13" i="13"/>
  <c r="C169" i="12"/>
  <c r="D166" i="12" s="1"/>
  <c r="H168" i="12"/>
  <c r="H106" i="12" s="1"/>
  <c r="H108" i="12" s="1"/>
  <c r="H114" i="12" s="1"/>
  <c r="E168" i="12"/>
  <c r="E106" i="12" s="1"/>
  <c r="E108" i="12" s="1"/>
  <c r="E114" i="12" s="1"/>
  <c r="D168" i="12"/>
  <c r="D106" i="12" s="1"/>
  <c r="D108" i="12" s="1"/>
  <c r="D114" i="12" s="1"/>
  <c r="G168" i="12"/>
  <c r="G106" i="12" s="1"/>
  <c r="G108" i="12" s="1"/>
  <c r="G114" i="12" s="1"/>
  <c r="F168" i="12"/>
  <c r="F106" i="12" s="1"/>
  <c r="F108" i="12" s="1"/>
  <c r="F114" i="12" s="1"/>
  <c r="H143" i="12"/>
  <c r="H12" i="12"/>
  <c r="H14" i="12" s="1"/>
  <c r="I13" i="12"/>
  <c r="G14" i="12"/>
  <c r="H54" i="12"/>
  <c r="H70" i="12" s="1"/>
  <c r="H72" i="12" s="1"/>
  <c r="G70" i="12"/>
  <c r="G72" i="12" s="1"/>
  <c r="D162" i="12"/>
  <c r="D74" i="12" s="1"/>
  <c r="G178" i="12"/>
  <c r="G82" i="12" s="1"/>
  <c r="C145" i="12"/>
  <c r="C146" i="12" s="1"/>
  <c r="H13" i="5"/>
  <c r="G143" i="5"/>
  <c r="G12" i="5"/>
  <c r="E162" i="13" l="1"/>
  <c r="E74" i="13" s="1"/>
  <c r="E163" i="13"/>
  <c r="F160" i="13" s="1"/>
  <c r="D171" i="13"/>
  <c r="D75" i="13" s="1"/>
  <c r="D169" i="13"/>
  <c r="E166" i="13" s="1"/>
  <c r="G14" i="13"/>
  <c r="D81" i="13"/>
  <c r="D76" i="13"/>
  <c r="H143" i="13"/>
  <c r="H12" i="13"/>
  <c r="H14" i="13" s="1"/>
  <c r="I13" i="13"/>
  <c r="C145" i="13"/>
  <c r="C146" i="13" s="1"/>
  <c r="D81" i="12"/>
  <c r="D163" i="12"/>
  <c r="E160" i="12" s="1"/>
  <c r="I143" i="12"/>
  <c r="I12" i="12"/>
  <c r="D169" i="12"/>
  <c r="E166" i="12" s="1"/>
  <c r="D171" i="12"/>
  <c r="D75" i="12" s="1"/>
  <c r="D76" i="12" s="1"/>
  <c r="I13" i="5"/>
  <c r="I143" i="5" s="1"/>
  <c r="H143" i="5"/>
  <c r="H12" i="5"/>
  <c r="D78" i="13" l="1"/>
  <c r="D79" i="13"/>
  <c r="D83" i="13" s="1"/>
  <c r="D112" i="13" s="1"/>
  <c r="D115" i="13" s="1"/>
  <c r="E171" i="13"/>
  <c r="E75" i="13" s="1"/>
  <c r="E76" i="13" s="1"/>
  <c r="E169" i="13"/>
  <c r="F166" i="13" s="1"/>
  <c r="I143" i="13"/>
  <c r="I12" i="13"/>
  <c r="F162" i="13"/>
  <c r="F74" i="13" s="1"/>
  <c r="E81" i="13"/>
  <c r="D78" i="12"/>
  <c r="D79" i="12" s="1"/>
  <c r="D83" i="12" s="1"/>
  <c r="D112" i="12" s="1"/>
  <c r="D115" i="12" s="1"/>
  <c r="E162" i="12"/>
  <c r="E74" i="12" s="1"/>
  <c r="E171" i="12"/>
  <c r="E75" i="12" s="1"/>
  <c r="E169" i="12"/>
  <c r="F166" i="12" s="1"/>
  <c r="I12" i="5"/>
  <c r="G174" i="5"/>
  <c r="F174" i="5"/>
  <c r="E174" i="5"/>
  <c r="D174" i="5"/>
  <c r="C171" i="5"/>
  <c r="C75" i="5" s="1"/>
  <c r="C76" i="5" s="1"/>
  <c r="C78" i="5" s="1"/>
  <c r="C79" i="5" s="1"/>
  <c r="E78" i="13" l="1"/>
  <c r="E79" i="13" s="1"/>
  <c r="E83" i="13" s="1"/>
  <c r="E112" i="13" s="1"/>
  <c r="E115" i="13" s="1"/>
  <c r="E144" i="13" s="1"/>
  <c r="E145" i="13" s="1"/>
  <c r="F81" i="13"/>
  <c r="F169" i="13"/>
  <c r="G166" i="13" s="1"/>
  <c r="F171" i="13"/>
  <c r="F75" i="13" s="1"/>
  <c r="F76" i="13" s="1"/>
  <c r="D144" i="13"/>
  <c r="D117" i="13"/>
  <c r="F163" i="13"/>
  <c r="G160" i="13" s="1"/>
  <c r="D144" i="12"/>
  <c r="D117" i="12"/>
  <c r="F169" i="12"/>
  <c r="G166" i="12" s="1"/>
  <c r="F171" i="12"/>
  <c r="F75" i="12" s="1"/>
  <c r="E81" i="12"/>
  <c r="E76" i="12"/>
  <c r="E163" i="12"/>
  <c r="F160" i="12" s="1"/>
  <c r="C83" i="5"/>
  <c r="C114" i="5"/>
  <c r="C177" i="5"/>
  <c r="E117" i="13" l="1"/>
  <c r="F78" i="13"/>
  <c r="F79" i="13" s="1"/>
  <c r="F83" i="13" s="1"/>
  <c r="F112" i="13" s="1"/>
  <c r="F115" i="13" s="1"/>
  <c r="F144" i="13" s="1"/>
  <c r="F145" i="13" s="1"/>
  <c r="D145" i="13"/>
  <c r="D146" i="13" s="1"/>
  <c r="G169" i="13"/>
  <c r="H166" i="13" s="1"/>
  <c r="G171" i="13"/>
  <c r="G75" i="13" s="1"/>
  <c r="G162" i="13"/>
  <c r="G74" i="13" s="1"/>
  <c r="G163" i="13"/>
  <c r="H160" i="13" s="1"/>
  <c r="F162" i="12"/>
  <c r="F74" i="12" s="1"/>
  <c r="E78" i="12"/>
  <c r="E79" i="12" s="1"/>
  <c r="E83" i="12" s="1"/>
  <c r="E112" i="12" s="1"/>
  <c r="E115" i="12" s="1"/>
  <c r="G171" i="12"/>
  <c r="G75" i="12" s="1"/>
  <c r="G169" i="12"/>
  <c r="H166" i="12" s="1"/>
  <c r="D145" i="12"/>
  <c r="D146" i="12" s="1"/>
  <c r="D43" i="5"/>
  <c r="D44" i="5" s="1"/>
  <c r="D161" i="5"/>
  <c r="C161" i="5"/>
  <c r="C167" i="5" s="1"/>
  <c r="H70" i="5"/>
  <c r="G70" i="5"/>
  <c r="F70" i="5"/>
  <c r="E70" i="5"/>
  <c r="D70" i="5"/>
  <c r="F117" i="13" l="1"/>
  <c r="H169" i="13"/>
  <c r="I166" i="13" s="1"/>
  <c r="H171" i="13"/>
  <c r="H75" i="13" s="1"/>
  <c r="E146" i="13"/>
  <c r="D152" i="13"/>
  <c r="H162" i="13"/>
  <c r="H74" i="13" s="1"/>
  <c r="H163" i="13"/>
  <c r="I160" i="13" s="1"/>
  <c r="G81" i="13"/>
  <c r="G76" i="13"/>
  <c r="E144" i="12"/>
  <c r="E117" i="12"/>
  <c r="D152" i="12"/>
  <c r="H169" i="12"/>
  <c r="I166" i="12" s="1"/>
  <c r="H171" i="12"/>
  <c r="H75" i="12" s="1"/>
  <c r="F81" i="12"/>
  <c r="F76" i="12"/>
  <c r="F163" i="12"/>
  <c r="G160" i="12" s="1"/>
  <c r="D176" i="5"/>
  <c r="D175" i="5"/>
  <c r="E168" i="5"/>
  <c r="D168" i="5"/>
  <c r="H168" i="5"/>
  <c r="G168" i="5"/>
  <c r="F168" i="5"/>
  <c r="D113" i="5"/>
  <c r="D167" i="5"/>
  <c r="E113" i="5"/>
  <c r="E161" i="5"/>
  <c r="E167" i="5" s="1"/>
  <c r="F113" i="5"/>
  <c r="F161" i="5"/>
  <c r="F167" i="5" s="1"/>
  <c r="G113" i="5"/>
  <c r="G161" i="5"/>
  <c r="G167" i="5" s="1"/>
  <c r="H113" i="5"/>
  <c r="H161" i="5"/>
  <c r="H167" i="5" s="1"/>
  <c r="C113" i="5"/>
  <c r="H81" i="13" l="1"/>
  <c r="H76" i="13"/>
  <c r="E152" i="13"/>
  <c r="F146" i="13"/>
  <c r="G78" i="13"/>
  <c r="G79" i="13" s="1"/>
  <c r="G83" i="13" s="1"/>
  <c r="G112" i="13" s="1"/>
  <c r="G115" i="13" s="1"/>
  <c r="G162" i="12"/>
  <c r="G74" i="12" s="1"/>
  <c r="G163" i="12"/>
  <c r="H160" i="12" s="1"/>
  <c r="F78" i="12"/>
  <c r="F79" i="12" s="1"/>
  <c r="F83" i="12" s="1"/>
  <c r="F112" i="12" s="1"/>
  <c r="F115" i="12" s="1"/>
  <c r="E145" i="12"/>
  <c r="E146" i="12" s="1"/>
  <c r="D177" i="5"/>
  <c r="D178" i="5" s="1"/>
  <c r="D82" i="5" s="1"/>
  <c r="C169" i="5"/>
  <c r="C163" i="5"/>
  <c r="I23" i="4"/>
  <c r="H23" i="4"/>
  <c r="G23" i="4"/>
  <c r="F23" i="4"/>
  <c r="E23" i="4"/>
  <c r="D23" i="4"/>
  <c r="C23" i="4"/>
  <c r="F152" i="13" l="1"/>
  <c r="G144" i="13"/>
  <c r="G117" i="13"/>
  <c r="H78" i="13"/>
  <c r="H79" i="13" s="1"/>
  <c r="H83" i="13" s="1"/>
  <c r="H112" i="13" s="1"/>
  <c r="H115" i="13" s="1"/>
  <c r="F144" i="12"/>
  <c r="F117" i="12"/>
  <c r="E152" i="12"/>
  <c r="H162" i="12"/>
  <c r="H74" i="12" s="1"/>
  <c r="H163" i="12"/>
  <c r="I160" i="12" s="1"/>
  <c r="G81" i="12"/>
  <c r="G76" i="12"/>
  <c r="D160" i="5"/>
  <c r="D166" i="5"/>
  <c r="D171" i="5" s="1"/>
  <c r="D75" i="5" s="1"/>
  <c r="H43" i="5"/>
  <c r="H44" i="5" s="1"/>
  <c r="G43" i="5"/>
  <c r="G44" i="5" s="1"/>
  <c r="F43" i="5"/>
  <c r="F44" i="5" s="1"/>
  <c r="E43" i="5"/>
  <c r="E44" i="5" s="1"/>
  <c r="I28" i="4"/>
  <c r="C33" i="4"/>
  <c r="H144" i="13" l="1"/>
  <c r="H145" i="13" s="1"/>
  <c r="I115" i="13"/>
  <c r="H117" i="13"/>
  <c r="G145" i="13"/>
  <c r="G146" i="13" s="1"/>
  <c r="H81" i="12"/>
  <c r="H76" i="12"/>
  <c r="G78" i="12"/>
  <c r="G79" i="12" s="1"/>
  <c r="G83" i="12" s="1"/>
  <c r="G112" i="12" s="1"/>
  <c r="G115" i="12" s="1"/>
  <c r="G144" i="12" s="1"/>
  <c r="G145" i="12" s="1"/>
  <c r="F145" i="12"/>
  <c r="F146" i="12" s="1"/>
  <c r="D162" i="5"/>
  <c r="D74" i="5" s="1"/>
  <c r="G176" i="5"/>
  <c r="G175" i="5"/>
  <c r="E175" i="5"/>
  <c r="E176" i="5"/>
  <c r="F175" i="5"/>
  <c r="F176" i="5"/>
  <c r="H176" i="5"/>
  <c r="H175" i="5"/>
  <c r="D169" i="5"/>
  <c r="E166" i="5" s="1"/>
  <c r="F72" i="5"/>
  <c r="G72" i="5"/>
  <c r="H72" i="5"/>
  <c r="D72" i="5"/>
  <c r="E72" i="5"/>
  <c r="C28" i="4"/>
  <c r="I33" i="4"/>
  <c r="D28" i="4"/>
  <c r="B34" i="4"/>
  <c r="B29" i="4"/>
  <c r="G152" i="13" l="1"/>
  <c r="H146" i="13"/>
  <c r="I117" i="13"/>
  <c r="I144" i="13"/>
  <c r="G146" i="12"/>
  <c r="F152" i="12"/>
  <c r="G117" i="12"/>
  <c r="H78" i="12"/>
  <c r="H79" i="12" s="1"/>
  <c r="H83" i="12" s="1"/>
  <c r="H112" i="12" s="1"/>
  <c r="H115" i="12" s="1"/>
  <c r="D163" i="5"/>
  <c r="E160" i="5" s="1"/>
  <c r="D106" i="5"/>
  <c r="D108" i="5" s="1"/>
  <c r="D114" i="5" s="1"/>
  <c r="H177" i="5"/>
  <c r="E171" i="5"/>
  <c r="E75" i="5" s="1"/>
  <c r="E106" i="5"/>
  <c r="G177" i="5"/>
  <c r="F177" i="5"/>
  <c r="E177" i="5"/>
  <c r="D33" i="4"/>
  <c r="E33" i="4"/>
  <c r="E28" i="4"/>
  <c r="C112" i="5"/>
  <c r="C115" i="5" s="1"/>
  <c r="H152" i="13" l="1"/>
  <c r="I145" i="13"/>
  <c r="I146" i="13" s="1"/>
  <c r="C148" i="13"/>
  <c r="C154" i="13" s="1"/>
  <c r="C150" i="13"/>
  <c r="H144" i="12"/>
  <c r="I115" i="12"/>
  <c r="H117" i="12"/>
  <c r="G152" i="12"/>
  <c r="E162" i="5"/>
  <c r="E74" i="5" s="1"/>
  <c r="C144" i="5"/>
  <c r="C145" i="5" s="1"/>
  <c r="H178" i="5"/>
  <c r="H82" i="5" s="1"/>
  <c r="E169" i="5"/>
  <c r="F166" i="5" s="1"/>
  <c r="F106" i="5" s="1"/>
  <c r="E178" i="5"/>
  <c r="E82" i="5" s="1"/>
  <c r="F178" i="5"/>
  <c r="F82" i="5" s="1"/>
  <c r="G178" i="5"/>
  <c r="G82" i="5" s="1"/>
  <c r="E108" i="5"/>
  <c r="E114" i="5" s="1"/>
  <c r="C117" i="5"/>
  <c r="F33" i="4"/>
  <c r="F28" i="4"/>
  <c r="I152" i="13" l="1"/>
  <c r="C152" i="13" a="1"/>
  <c r="C152" i="13" s="1"/>
  <c r="I117" i="12"/>
  <c r="I144" i="12"/>
  <c r="I145" i="12" s="1"/>
  <c r="H145" i="12"/>
  <c r="H146" i="12" s="1"/>
  <c r="C150" i="12"/>
  <c r="C148" i="12"/>
  <c r="C154" i="12" s="1"/>
  <c r="E163" i="5"/>
  <c r="F160" i="5" s="1"/>
  <c r="F162" i="5" s="1"/>
  <c r="F74" i="5" s="1"/>
  <c r="C146" i="5"/>
  <c r="F171" i="5"/>
  <c r="F169" i="5"/>
  <c r="G166" i="5" s="1"/>
  <c r="G106" i="5" s="1"/>
  <c r="G28" i="4"/>
  <c r="G33" i="4"/>
  <c r="I146" i="12" l="1"/>
  <c r="I152" i="12" s="1"/>
  <c r="H152" i="12"/>
  <c r="C152" i="12" a="1"/>
  <c r="C152" i="12" s="1"/>
  <c r="F163" i="5"/>
  <c r="G160" i="5" s="1"/>
  <c r="G162" i="5" s="1"/>
  <c r="G74" i="5" s="1"/>
  <c r="F108" i="5"/>
  <c r="F114" i="5" s="1"/>
  <c r="F75" i="5"/>
  <c r="G169" i="5"/>
  <c r="H166" i="5" s="1"/>
  <c r="H171" i="5" s="1"/>
  <c r="H75" i="5" s="1"/>
  <c r="G171" i="5"/>
  <c r="D81" i="5"/>
  <c r="E81" i="5"/>
  <c r="H28" i="4"/>
  <c r="H33" i="4"/>
  <c r="G163" i="5" l="1"/>
  <c r="H160" i="5" s="1"/>
  <c r="H162" i="5" s="1"/>
  <c r="H74" i="5" s="1"/>
  <c r="G108" i="5"/>
  <c r="G114" i="5" s="1"/>
  <c r="G75" i="5"/>
  <c r="H106" i="5"/>
  <c r="H108" i="5" s="1"/>
  <c r="H114" i="5" s="1"/>
  <c r="F81" i="5"/>
  <c r="H163" i="5" l="1"/>
  <c r="I160" i="5" s="1"/>
  <c r="H169" i="5"/>
  <c r="I166" i="5" s="1"/>
  <c r="G81" i="5" l="1"/>
  <c r="H81" i="5" l="1"/>
  <c r="G76" i="5" l="1"/>
  <c r="E76" i="5"/>
  <c r="E78" i="5" s="1"/>
  <c r="E79" i="5" s="1"/>
  <c r="D76" i="5"/>
  <c r="D78" i="5" s="1"/>
  <c r="D79" i="5" s="1"/>
  <c r="H76" i="5"/>
  <c r="F76" i="5"/>
  <c r="H78" i="5" l="1"/>
  <c r="H79" i="5" s="1"/>
  <c r="E83" i="5"/>
  <c r="E112" i="5" s="1"/>
  <c r="G78" i="5"/>
  <c r="G79" i="5" s="1"/>
  <c r="D83" i="5"/>
  <c r="D112" i="5" s="1"/>
  <c r="D115" i="5" s="1"/>
  <c r="F78" i="5"/>
  <c r="F79" i="5" s="1"/>
  <c r="D144" i="5" l="1"/>
  <c r="F83" i="5"/>
  <c r="F112" i="5" s="1"/>
  <c r="H83" i="5"/>
  <c r="H112" i="5" s="1"/>
  <c r="D117" i="5"/>
  <c r="G83" i="5"/>
  <c r="G112" i="5" s="1"/>
  <c r="E115" i="5"/>
  <c r="D145" i="5" l="1"/>
  <c r="D146" i="5" s="1"/>
  <c r="E117" i="5"/>
  <c r="H115" i="5"/>
  <c r="E144" i="5"/>
  <c r="G115" i="5"/>
  <c r="F115" i="5"/>
  <c r="I115" i="5" l="1"/>
  <c r="E145" i="5"/>
  <c r="E146" i="5" s="1"/>
  <c r="E152" i="5" s="1"/>
  <c r="D152" i="5"/>
  <c r="G144" i="5"/>
  <c r="G145" i="5" s="1"/>
  <c r="H144" i="5"/>
  <c r="H145" i="5" s="1"/>
  <c r="F144" i="5"/>
  <c r="F117" i="5"/>
  <c r="G117" i="5" s="1"/>
  <c r="H117" i="5" s="1"/>
  <c r="I117" i="5" l="1"/>
  <c r="I144" i="5"/>
  <c r="I145" i="5" s="1"/>
  <c r="C150" i="5"/>
  <c r="C148" i="5"/>
  <c r="F145" i="5"/>
  <c r="F146" i="5" s="1"/>
  <c r="C154" i="5" l="1"/>
  <c r="G146" i="5"/>
  <c r="F152" i="5"/>
  <c r="H146" i="5" l="1"/>
  <c r="G152" i="5"/>
  <c r="H152" i="5" l="1"/>
  <c r="I146" i="5"/>
  <c r="I152" i="5" s="1"/>
  <c r="C152" i="5" a="1"/>
  <c r="C152" i="5" s="1"/>
  <c r="E14" i="5" l="1"/>
  <c r="F14" i="5"/>
  <c r="G14" i="5"/>
  <c r="H14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<sst xmlns="http://schemas.openxmlformats.org/spreadsheetml/2006/main" count="485" uniqueCount="167">
  <si>
    <t>Business Case Timing</t>
  </si>
  <si>
    <t>Operations</t>
  </si>
  <si>
    <t>DCF Analysis</t>
  </si>
  <si>
    <t>Date</t>
  </si>
  <si>
    <t>Entry</t>
  </si>
  <si>
    <t>Exit</t>
  </si>
  <si>
    <t>Assumptions</t>
  </si>
  <si>
    <t>Start Date</t>
  </si>
  <si>
    <t>Fiscal Year Date</t>
  </si>
  <si>
    <t>Financing</t>
  </si>
  <si>
    <t>Discount Rate</t>
  </si>
  <si>
    <t>Perpetual Growth Rate</t>
  </si>
  <si>
    <t>Depreciation</t>
  </si>
  <si>
    <t>Interest</t>
  </si>
  <si>
    <t>Tax</t>
  </si>
  <si>
    <t>Inventory (COGS)</t>
  </si>
  <si>
    <t>Change in NWC</t>
  </si>
  <si>
    <t>Insert a brief description of the project</t>
  </si>
  <si>
    <t>Description</t>
  </si>
  <si>
    <t>Project description</t>
  </si>
  <si>
    <t>Project details</t>
  </si>
  <si>
    <t>Project name:</t>
  </si>
  <si>
    <t>[Insert name of project]</t>
  </si>
  <si>
    <t>Project category:</t>
  </si>
  <si>
    <t>[Insert category, if relevant]</t>
  </si>
  <si>
    <t>Business unit/team:</t>
  </si>
  <si>
    <t>[Insert business unit/team, if relevant]</t>
  </si>
  <si>
    <t>Model version:</t>
  </si>
  <si>
    <t>Date:</t>
  </si>
  <si>
    <t>[Insert date]</t>
  </si>
  <si>
    <t>Model prepared by:</t>
  </si>
  <si>
    <t>[Insert name and title]</t>
  </si>
  <si>
    <t>Project leader:</t>
  </si>
  <si>
    <t>Project sponsor:</t>
  </si>
  <si>
    <t>[Insert name of option e.g., Do minimum]</t>
  </si>
  <si>
    <t>Year 1</t>
  </si>
  <si>
    <t>Year 2</t>
  </si>
  <si>
    <t>Year 3</t>
  </si>
  <si>
    <t>Year 4</t>
  </si>
  <si>
    <t>Year 5</t>
  </si>
  <si>
    <t>How to use this Excel model:</t>
  </si>
  <si>
    <t>Five ways to calculate when a project is a good business case:</t>
  </si>
  <si>
    <t>Method</t>
  </si>
  <si>
    <t>Answers the question…</t>
  </si>
  <si>
    <t xml:space="preserve">Expressed in… </t>
  </si>
  <si>
    <t>Typically used for…</t>
  </si>
  <si>
    <t>Breakeven analysis</t>
  </si>
  <si>
    <t>How many sales are needed to recoup the investment?</t>
  </si>
  <si>
    <t>Units sold</t>
  </si>
  <si>
    <t>Market-focused projects like product development and new market expansion</t>
  </si>
  <si>
    <t>Return on investment (ROI)</t>
  </si>
  <si>
    <t>How much profit can we earn?</t>
  </si>
  <si>
    <t>Percentage</t>
  </si>
  <si>
    <t>Projects with significant upfront costs, like facilities projects, and productivity projects that accumulate benefits over time</t>
  </si>
  <si>
    <t>Payback period</t>
  </si>
  <si>
    <t>How long will it take to recoup the investment?</t>
  </si>
  <si>
    <t>Months or years</t>
  </si>
  <si>
    <t>Net present value (NPV)</t>
  </si>
  <si>
    <t>How much is this project worth to the business?</t>
  </si>
  <si>
    <t>Dollars/Euro etc.</t>
  </si>
  <si>
    <t>Projects with large expenditures</t>
  </si>
  <si>
    <t>Internal rate of return (IRR)</t>
  </si>
  <si>
    <t>What rate of return will this project deliver over its lifecycle?</t>
  </si>
  <si>
    <t>Projects that a company expects to extend indefinitely, especially those requiring borrowing.</t>
  </si>
  <si>
    <t>Formatting:</t>
  </si>
  <si>
    <t>Light yellow cells are input fields</t>
  </si>
  <si>
    <t>All other cells are calculated</t>
  </si>
  <si>
    <t xml:space="preserve">Description: </t>
  </si>
  <si>
    <t>[Insert brief description of scenario]</t>
  </si>
  <si>
    <t>Business case</t>
  </si>
  <si>
    <t>Revenues</t>
  </si>
  <si>
    <t>New revenue generated</t>
  </si>
  <si>
    <t>Cost of goods sold (COGS)</t>
  </si>
  <si>
    <t>Gross margin</t>
  </si>
  <si>
    <t>Cost savings</t>
  </si>
  <si>
    <t>Cost savings #1</t>
  </si>
  <si>
    <t>Total cost savings</t>
  </si>
  <si>
    <t>Capital expenditures</t>
  </si>
  <si>
    <t>Investment category #1 (e.g., production equipment)</t>
  </si>
  <si>
    <t>Investment category #2 (e.g., IT hardware)</t>
  </si>
  <si>
    <t>Investment category #3</t>
  </si>
  <si>
    <t>Investment category #4</t>
  </si>
  <si>
    <t>Investment category #5</t>
  </si>
  <si>
    <t>Project expenses (one-time expenses)</t>
  </si>
  <si>
    <t>Expense #1 (e.g., prototype development)</t>
  </si>
  <si>
    <t>Expense #2</t>
  </si>
  <si>
    <t>Expense #3</t>
  </si>
  <si>
    <t>Ongoing project costs</t>
  </si>
  <si>
    <t>Investments</t>
  </si>
  <si>
    <t>Operating expenses</t>
  </si>
  <si>
    <t>Ongoing cost #1 (e.g., salaries)</t>
  </si>
  <si>
    <t>Ongoing cost #2 (e.g., personnel expenses)</t>
  </si>
  <si>
    <t>Ongoing cost #3 (e.g., software licenses)</t>
  </si>
  <si>
    <t>Ongoing cost #4</t>
  </si>
  <si>
    <t>Ongoing cost #5</t>
  </si>
  <si>
    <t>Marketing and sales expenses</t>
  </si>
  <si>
    <t>Ongoing cost #6 (e.g., Meta)</t>
  </si>
  <si>
    <t>Ongoing cost #7</t>
  </si>
  <si>
    <t>Ongoing cost #8</t>
  </si>
  <si>
    <t>Ongoing cost #9</t>
  </si>
  <si>
    <t>Ongoing cost #10</t>
  </si>
  <si>
    <t>Other expenses</t>
  </si>
  <si>
    <t>Ongoing cost #11</t>
  </si>
  <si>
    <t>Total ongoing project costs</t>
  </si>
  <si>
    <t>Earnings before interest, tax, depreciation, amortization (EBITDA)</t>
  </si>
  <si>
    <t>Earnings before tax</t>
  </si>
  <si>
    <t>Earnings after tax</t>
  </si>
  <si>
    <t>Plus: Depreciation and amortization</t>
  </si>
  <si>
    <t>Less: Changes in working capital</t>
  </si>
  <si>
    <t>Cash flow from operations</t>
  </si>
  <si>
    <t>Cash flow from investments</t>
  </si>
  <si>
    <t>Financing costs</t>
  </si>
  <si>
    <t>Debt repayment</t>
  </si>
  <si>
    <t>Cash flow from financing</t>
  </si>
  <si>
    <t>Total cash flow</t>
  </si>
  <si>
    <t>Cumulative cash flow</t>
  </si>
  <si>
    <t>Cost of goods sold (% of revenue)</t>
  </si>
  <si>
    <t>Tax rate</t>
  </si>
  <si>
    <t>Supporting calculations</t>
  </si>
  <si>
    <t>Cash flow from investments (Capex)</t>
  </si>
  <si>
    <t>Depreciation schedule</t>
  </si>
  <si>
    <t>Property, plant &amp; equipment (PPE) opening</t>
  </si>
  <si>
    <t>Plus capex/project investments</t>
  </si>
  <si>
    <t>Less depreciation</t>
  </si>
  <si>
    <t>Depreciation &amp; amortization</t>
  </si>
  <si>
    <t>Property, plant &amp; equipment (PPE) closing</t>
  </si>
  <si>
    <t>Debt &amp; interest schedule</t>
  </si>
  <si>
    <t>Debt opening</t>
  </si>
  <si>
    <t>Debt incurred</t>
  </si>
  <si>
    <t>Debt closing</t>
  </si>
  <si>
    <t>Interest expense</t>
  </si>
  <si>
    <t>Working capital schedule</t>
  </si>
  <si>
    <t>Accounts receivable</t>
  </si>
  <si>
    <t>Accounts payable (COGS)</t>
  </si>
  <si>
    <t>Net working capital (NWC)</t>
  </si>
  <si>
    <t>Discounted cash flow (DCF)</t>
  </si>
  <si>
    <t>Period</t>
  </si>
  <si>
    <t>Present value of total cash flow</t>
  </si>
  <si>
    <t>Cumulative present value of total cash flow</t>
  </si>
  <si>
    <t>Net present value (NPV):</t>
  </si>
  <si>
    <t>Internal rate of return:</t>
  </si>
  <si>
    <t>Return on investment (ROI):</t>
  </si>
  <si>
    <t>Yearly debt repayments (% of total debt)</t>
  </si>
  <si>
    <t>Interest rate on debt (%)</t>
  </si>
  <si>
    <t>Accounts receivable (days)</t>
  </si>
  <si>
    <t>Inventory (days)</t>
  </si>
  <si>
    <t>Accounts payable (days)</t>
  </si>
  <si>
    <t>Working capital</t>
  </si>
  <si>
    <t>Time periods</t>
  </si>
  <si>
    <t>Year fraction</t>
  </si>
  <si>
    <t>Project investment</t>
  </si>
  <si>
    <t>Buffer on capex investments</t>
  </si>
  <si>
    <t>Buffer</t>
  </si>
  <si>
    <t>Terminal value</t>
  </si>
  <si>
    <t>Option 1:</t>
  </si>
  <si>
    <t>Investment</t>
  </si>
  <si>
    <t>Discounted payback period (years)</t>
  </si>
  <si>
    <t>Business case options comparison</t>
  </si>
  <si>
    <t>Overview of investment case for each option</t>
  </si>
  <si>
    <t>Revenue and cost savings</t>
  </si>
  <si>
    <t>EBITDA</t>
  </si>
  <si>
    <t>Total cash flows</t>
  </si>
  <si>
    <t>Option 2:</t>
  </si>
  <si>
    <t>Option 3:</t>
  </si>
  <si>
    <t>[Insert name of option e.g., Focus on new revenue]</t>
  </si>
  <si>
    <t>[Insert name of option e.g., High growth]</t>
  </si>
  <si>
    <t>Use this Excel to compare different solution options. Adjust assumptions under each option and compare return on investment calculations.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</si>
</sst>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(#,##0\)_-;_-* &quot;-&quot;_-;_-@_-"/>
    <numFmt numFmtId="165" formatCode="&quot;$&quot;#,##0"/>
    <numFmt numFmtId="166" formatCode="_-* #,##0.00_-;\-* #,##0.00_-;_-* &quot;-&quot;??_-;_-@_-"/>
    <numFmt numFmtId="167" formatCode="0.0"/>
    <numFmt numFmtId="168" formatCode="&quot;$&quot;#,##0;\-&quot;$&quot;#,##0"/>
    <numFmt numFmtId="169" formatCode="&quot;$&quot;#,##0;[Red]\-&quot;$&quot;#,##0"/>
    <numFmt numFmtId="171" formatCode="_-* #,##0.00_-;\(#,##0.00\)_-;_-* &quot;-&quot;_-;_-@_-"/>
  </numFmts>
  <fonts count="19" x14ac:knownFonts="1"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theme="0"/>
      <name val="Arial"/>
      <family val="2"/>
      <scheme val="minor"/>
    </font>
    <font>
      <sz val="12"/>
      <color theme="1"/>
      <name val="Arial"/>
      <family val="2"/>
    </font>
    <font>
      <sz val="12"/>
      <color theme="4"/>
      <name val="Arial (Body)"/>
    </font>
    <font>
      <sz val="10"/>
      <color theme="0"/>
      <name val="Arial"/>
      <family val="2"/>
    </font>
    <font>
      <sz val="11"/>
      <color theme="0"/>
      <name val="Arial"/>
      <family val="2"/>
    </font>
    <font>
      <b/>
      <sz val="14"/>
      <color theme="0"/>
      <name val="Arial"/>
      <family val="2"/>
    </font>
    <font>
      <b/>
      <sz val="20"/>
      <color theme="0"/>
      <name val="Arial"/>
      <family val="2"/>
    </font>
    <font>
      <b/>
      <sz val="12"/>
      <color theme="0"/>
      <name val="Arial"/>
      <family val="2"/>
    </font>
    <font>
      <sz val="12"/>
      <color theme="0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20"/>
      <color theme="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1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89999084444715716"/>
        <bgColor rgb="FF000000"/>
      </patternFill>
    </fill>
    <fill>
      <patternFill patternType="solid">
        <fgColor theme="1"/>
        <bgColor rgb="FF000000"/>
      </patternFill>
    </fill>
    <fill>
      <patternFill patternType="solid">
        <fgColor theme="1" tint="-4.9989318521683403E-2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slantDashDot">
        <color indexed="64"/>
      </left>
      <right/>
      <top style="slantDashDot">
        <color indexed="64"/>
      </top>
      <bottom/>
      <diagonal/>
    </border>
    <border>
      <left/>
      <right/>
      <top style="slantDashDot">
        <color indexed="64"/>
      </top>
      <bottom/>
      <diagonal/>
    </border>
    <border>
      <left/>
      <right style="slantDashDot">
        <color indexed="64"/>
      </right>
      <top style="slantDashDot">
        <color indexed="64"/>
      </top>
      <bottom/>
      <diagonal/>
    </border>
    <border>
      <left style="slantDashDot">
        <color indexed="64"/>
      </left>
      <right/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/>
      <right style="slantDashDot">
        <color indexed="64"/>
      </right>
      <top/>
      <bottom style="slantDashDot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5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1" fillId="0" borderId="0"/>
    <xf numFmtId="0" fontId="4" fillId="5" borderId="0" applyNumberFormat="0" applyBorder="0" applyAlignment="0" applyProtection="0"/>
    <xf numFmtId="0" fontId="5" fillId="3" borderId="0" applyNumberFormat="0" applyBorder="0" applyAlignment="0" applyProtection="0"/>
    <xf numFmtId="166" fontId="1" fillId="0" borderId="0" applyFont="0" applyFill="0" applyBorder="0" applyAlignment="0" applyProtection="0"/>
    <xf numFmtId="0" fontId="4" fillId="4" borderId="0" applyNumberFormat="0" applyBorder="0" applyAlignment="0" applyProtection="0"/>
    <xf numFmtId="0" fontId="5" fillId="2" borderId="0" applyNumberFormat="0" applyBorder="0" applyAlignment="0" applyProtection="0"/>
    <xf numFmtId="0" fontId="4" fillId="0" borderId="0"/>
    <xf numFmtId="0" fontId="3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79">
    <xf numFmtId="0" fontId="0" fillId="0" borderId="0" xfId="0"/>
    <xf numFmtId="0" fontId="9" fillId="0" borderId="0" xfId="9" applyFont="1"/>
    <xf numFmtId="0" fontId="6" fillId="7" borderId="11" xfId="10" applyFont="1" applyFill="1" applyBorder="1" applyAlignment="1">
      <alignment vertical="center"/>
    </xf>
    <xf numFmtId="0" fontId="7" fillId="8" borderId="12" xfId="10" applyFont="1" applyFill="1" applyBorder="1" applyAlignment="1" applyProtection="1">
      <alignment vertical="center" wrapText="1"/>
      <protection locked="0"/>
    </xf>
    <xf numFmtId="0" fontId="7" fillId="8" borderId="11" xfId="10" applyFont="1" applyFill="1" applyBorder="1" applyAlignment="1" applyProtection="1">
      <alignment vertical="center"/>
      <protection locked="0"/>
    </xf>
    <xf numFmtId="167" fontId="7" fillId="8" borderId="11" xfId="10" applyNumberFormat="1" applyFont="1" applyFill="1" applyBorder="1" applyAlignment="1" applyProtection="1">
      <alignment horizontal="left" vertical="center"/>
      <protection locked="0"/>
    </xf>
    <xf numFmtId="15" fontId="7" fillId="8" borderId="11" xfId="10" applyNumberFormat="1" applyFont="1" applyFill="1" applyBorder="1" applyAlignment="1" applyProtection="1">
      <alignment horizontal="left" vertical="center"/>
      <protection locked="0"/>
    </xf>
    <xf numFmtId="0" fontId="6" fillId="7" borderId="12" xfId="10" applyFont="1" applyFill="1" applyBorder="1" applyAlignment="1">
      <alignment vertical="center" wrapText="1"/>
    </xf>
    <xf numFmtId="0" fontId="7" fillId="8" borderId="11" xfId="10" applyFont="1" applyFill="1" applyBorder="1" applyAlignment="1" applyProtection="1">
      <alignment vertical="center" wrapText="1"/>
      <protection locked="0"/>
    </xf>
    <xf numFmtId="0" fontId="6" fillId="7" borderId="11" xfId="10" applyFont="1" applyFill="1" applyBorder="1" applyAlignment="1">
      <alignment vertical="center" wrapText="1"/>
    </xf>
    <xf numFmtId="0" fontId="10" fillId="0" borderId="0" xfId="2" applyFont="1"/>
    <xf numFmtId="0" fontId="14" fillId="0" borderId="0" xfId="4" applyFont="1" applyFill="1" applyBorder="1" applyAlignment="1">
      <alignment horizontal="center" vertical="center"/>
    </xf>
    <xf numFmtId="0" fontId="14" fillId="0" borderId="0" xfId="4" applyFont="1" applyFill="1" applyBorder="1" applyAlignment="1">
      <alignment vertical="center"/>
    </xf>
    <xf numFmtId="9" fontId="15" fillId="0" borderId="0" xfId="1" applyFont="1" applyFill="1" applyBorder="1" applyAlignment="1">
      <alignment horizontal="center" vertical="center" wrapText="1"/>
    </xf>
    <xf numFmtId="167" fontId="15" fillId="0" borderId="0" xfId="1" applyNumberFormat="1" applyFont="1" applyFill="1" applyBorder="1" applyAlignment="1">
      <alignment horizontal="center" vertical="center" wrapText="1"/>
    </xf>
    <xf numFmtId="164" fontId="14" fillId="0" borderId="0" xfId="5" applyNumberFormat="1" applyFont="1" applyFill="1" applyBorder="1" applyAlignment="1">
      <alignment horizontal="right" vertical="center"/>
    </xf>
    <xf numFmtId="0" fontId="11" fillId="0" borderId="0" xfId="2" applyFont="1" applyAlignment="1">
      <alignment vertical="center"/>
    </xf>
    <xf numFmtId="0" fontId="13" fillId="0" borderId="0" xfId="3" applyFont="1" applyAlignment="1">
      <alignment vertical="center"/>
    </xf>
    <xf numFmtId="0" fontId="10" fillId="0" borderId="0" xfId="3" applyFont="1" applyAlignment="1">
      <alignment wrapText="1"/>
    </xf>
    <xf numFmtId="0" fontId="12" fillId="0" borderId="0" xfId="3" applyFont="1" applyAlignment="1">
      <alignment vertical="center"/>
    </xf>
    <xf numFmtId="0" fontId="15" fillId="0" borderId="0" xfId="2" applyFont="1" applyAlignment="1">
      <alignment horizontal="center" vertical="center" wrapText="1"/>
    </xf>
    <xf numFmtId="0" fontId="15" fillId="0" borderId="0" xfId="2" applyFont="1" applyAlignment="1">
      <alignment vertical="center" wrapText="1"/>
    </xf>
    <xf numFmtId="3" fontId="15" fillId="0" borderId="0" xfId="2" applyNumberFormat="1" applyFont="1" applyAlignment="1">
      <alignment horizontal="center" vertical="center" wrapText="1"/>
    </xf>
    <xf numFmtId="0" fontId="15" fillId="0" borderId="0" xfId="2" applyFont="1" applyAlignment="1">
      <alignment horizontal="left" vertical="center" wrapText="1"/>
    </xf>
    <xf numFmtId="167" fontId="15" fillId="0" borderId="0" xfId="2" applyNumberFormat="1" applyFont="1" applyAlignment="1">
      <alignment horizontal="center" vertical="center" wrapText="1"/>
    </xf>
    <xf numFmtId="0" fontId="15" fillId="0" borderId="0" xfId="3" applyFont="1" applyAlignment="1">
      <alignment horizontal="center" wrapText="1"/>
    </xf>
    <xf numFmtId="0" fontId="15" fillId="0" borderId="0" xfId="3" applyFont="1" applyAlignment="1">
      <alignment wrapText="1"/>
    </xf>
    <xf numFmtId="1" fontId="14" fillId="0" borderId="0" xfId="5" applyNumberFormat="1" applyFont="1" applyFill="1" applyBorder="1" applyAlignment="1">
      <alignment horizontal="right" vertical="center"/>
    </xf>
    <xf numFmtId="164" fontId="16" fillId="6" borderId="0" xfId="5" applyNumberFormat="1" applyFont="1" applyFill="1" applyBorder="1" applyAlignment="1">
      <alignment horizontal="left" vertical="center"/>
    </xf>
    <xf numFmtId="0" fontId="17" fillId="6" borderId="0" xfId="3" applyFont="1" applyFill="1" applyAlignment="1">
      <alignment wrapText="1"/>
    </xf>
    <xf numFmtId="164" fontId="16" fillId="0" borderId="0" xfId="5" applyNumberFormat="1" applyFont="1" applyFill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4" fillId="0" borderId="0" xfId="3" applyFont="1" applyAlignment="1">
      <alignment vertical="center"/>
    </xf>
    <xf numFmtId="0" fontId="7" fillId="0" borderId="0" xfId="0" applyFont="1" applyAlignment="1">
      <alignment wrapText="1"/>
    </xf>
    <xf numFmtId="0" fontId="7" fillId="0" borderId="0" xfId="0" applyFont="1"/>
    <xf numFmtId="0" fontId="6" fillId="8" borderId="15" xfId="0" applyFont="1" applyFill="1" applyBorder="1" applyAlignment="1">
      <alignment vertical="center" wrapText="1"/>
    </xf>
    <xf numFmtId="0" fontId="7" fillId="0" borderId="16" xfId="0" applyFont="1" applyBorder="1"/>
    <xf numFmtId="0" fontId="7" fillId="0" borderId="17" xfId="0" applyFont="1" applyBorder="1"/>
    <xf numFmtId="0" fontId="7" fillId="8" borderId="0" xfId="0" applyFont="1" applyFill="1" applyAlignment="1">
      <alignment vertical="center" wrapText="1"/>
    </xf>
    <xf numFmtId="0" fontId="14" fillId="9" borderId="0" xfId="0" applyFont="1" applyFill="1" applyAlignment="1">
      <alignment vertical="top"/>
    </xf>
    <xf numFmtId="0" fontId="15" fillId="9" borderId="0" xfId="0" applyFont="1" applyFill="1" applyAlignment="1">
      <alignment vertical="top"/>
    </xf>
    <xf numFmtId="0" fontId="14" fillId="10" borderId="11" xfId="0" applyFont="1" applyFill="1" applyBorder="1" applyAlignment="1">
      <alignment vertical="center" wrapText="1"/>
    </xf>
    <xf numFmtId="0" fontId="14" fillId="10" borderId="21" xfId="0" applyFont="1" applyFill="1" applyBorder="1" applyAlignment="1">
      <alignment vertical="center" wrapText="1"/>
    </xf>
    <xf numFmtId="0" fontId="15" fillId="11" borderId="14" xfId="0" applyFont="1" applyFill="1" applyBorder="1" applyAlignment="1">
      <alignment vertical="center" wrapText="1"/>
    </xf>
    <xf numFmtId="0" fontId="15" fillId="11" borderId="8" xfId="0" applyFont="1" applyFill="1" applyBorder="1" applyAlignment="1">
      <alignment vertical="center" wrapText="1"/>
    </xf>
    <xf numFmtId="0" fontId="6" fillId="8" borderId="12" xfId="0" applyFont="1" applyFill="1" applyBorder="1" applyAlignment="1">
      <alignment wrapText="1"/>
    </xf>
    <xf numFmtId="0" fontId="7" fillId="8" borderId="13" xfId="0" applyFont="1" applyFill="1" applyBorder="1" applyAlignment="1">
      <alignment wrapText="1"/>
    </xf>
    <xf numFmtId="0" fontId="7" fillId="12" borderId="13" xfId="0" applyFont="1" applyFill="1" applyBorder="1" applyAlignment="1">
      <alignment wrapText="1"/>
    </xf>
    <xf numFmtId="0" fontId="7" fillId="8" borderId="14" xfId="0" applyFont="1" applyFill="1" applyBorder="1" applyAlignment="1">
      <alignment wrapText="1"/>
    </xf>
    <xf numFmtId="0" fontId="15" fillId="0" borderId="0" xfId="2" applyFont="1" applyAlignment="1">
      <alignment vertical="center"/>
    </xf>
    <xf numFmtId="0" fontId="14" fillId="0" borderId="0" xfId="2" applyFont="1" applyAlignment="1">
      <alignment vertical="center"/>
    </xf>
    <xf numFmtId="165" fontId="14" fillId="0" borderId="0" xfId="2" applyNumberFormat="1" applyFont="1" applyAlignment="1">
      <alignment horizontal="right" vertical="center" wrapText="1"/>
    </xf>
    <xf numFmtId="0" fontId="14" fillId="0" borderId="0" xfId="2" applyFont="1" applyAlignment="1">
      <alignment horizontal="center" vertical="center"/>
    </xf>
    <xf numFmtId="9" fontId="14" fillId="0" borderId="0" xfId="2" applyNumberFormat="1" applyFont="1" applyAlignment="1">
      <alignment horizontal="center" vertical="center"/>
    </xf>
    <xf numFmtId="0" fontId="15" fillId="0" borderId="0" xfId="2" applyFont="1" applyAlignment="1">
      <alignment horizontal="center" vertical="center"/>
    </xf>
    <xf numFmtId="164" fontId="15" fillId="0" borderId="0" xfId="7" applyNumberFormat="1" applyFont="1" applyFill="1" applyBorder="1" applyAlignment="1">
      <alignment vertical="center"/>
    </xf>
    <xf numFmtId="164" fontId="15" fillId="12" borderId="0" xfId="7" applyNumberFormat="1" applyFont="1" applyFill="1" applyBorder="1" applyAlignment="1">
      <alignment vertical="center"/>
    </xf>
    <xf numFmtId="164" fontId="16" fillId="0" borderId="0" xfId="5" applyNumberFormat="1" applyFont="1" applyFill="1" applyBorder="1" applyAlignment="1">
      <alignment horizontal="left" vertical="center"/>
    </xf>
    <xf numFmtId="0" fontId="8" fillId="6" borderId="0" xfId="2" applyFont="1" applyFill="1" applyAlignment="1">
      <alignment vertical="center"/>
    </xf>
    <xf numFmtId="1" fontId="16" fillId="0" borderId="0" xfId="5" applyNumberFormat="1" applyFont="1" applyFill="1" applyBorder="1" applyAlignment="1">
      <alignment horizontal="right" vertical="center"/>
    </xf>
    <xf numFmtId="164" fontId="14" fillId="0" borderId="0" xfId="5" applyNumberFormat="1" applyFont="1" applyFill="1" applyBorder="1" applyAlignment="1">
      <alignment vertical="center"/>
    </xf>
    <xf numFmtId="164" fontId="16" fillId="6" borderId="0" xfId="5" applyNumberFormat="1" applyFont="1" applyFill="1" applyBorder="1" applyAlignment="1">
      <alignment vertical="center"/>
    </xf>
    <xf numFmtId="164" fontId="16" fillId="0" borderId="0" xfId="5" applyNumberFormat="1" applyFont="1" applyFill="1" applyBorder="1" applyAlignment="1">
      <alignment vertical="center"/>
    </xf>
    <xf numFmtId="9" fontId="14" fillId="0" borderId="0" xfId="2" applyNumberFormat="1" applyFont="1" applyAlignment="1">
      <alignment vertical="center"/>
    </xf>
    <xf numFmtId="164" fontId="16" fillId="6" borderId="0" xfId="5" applyNumberFormat="1" applyFont="1" applyFill="1" applyBorder="1" applyAlignment="1">
      <alignment horizontal="center" vertical="center"/>
    </xf>
    <xf numFmtId="1" fontId="16" fillId="6" borderId="0" xfId="5" applyNumberFormat="1" applyFont="1" applyFill="1" applyBorder="1" applyAlignment="1">
      <alignment horizontal="center" vertical="center"/>
    </xf>
    <xf numFmtId="164" fontId="14" fillId="7" borderId="0" xfId="5" applyNumberFormat="1" applyFont="1" applyFill="1" applyBorder="1" applyAlignment="1">
      <alignment vertical="center"/>
    </xf>
    <xf numFmtId="164" fontId="14" fillId="7" borderId="0" xfId="5" applyNumberFormat="1" applyFont="1" applyFill="1" applyBorder="1" applyAlignment="1">
      <alignment horizontal="right" vertical="center"/>
    </xf>
    <xf numFmtId="1" fontId="14" fillId="7" borderId="0" xfId="5" applyNumberFormat="1" applyFont="1" applyFill="1" applyBorder="1" applyAlignment="1">
      <alignment horizontal="right" vertical="center"/>
    </xf>
    <xf numFmtId="0" fontId="15" fillId="7" borderId="0" xfId="2" applyFont="1" applyFill="1" applyAlignment="1">
      <alignment vertical="center"/>
    </xf>
    <xf numFmtId="0" fontId="15" fillId="0" borderId="0" xfId="0" applyFont="1" applyAlignment="1">
      <alignment wrapText="1"/>
    </xf>
    <xf numFmtId="0" fontId="15" fillId="0" borderId="0" xfId="3" applyFont="1" applyAlignment="1">
      <alignment vertical="center" wrapText="1"/>
    </xf>
    <xf numFmtId="164" fontId="15" fillId="0" borderId="0" xfId="5" applyNumberFormat="1" applyFont="1" applyFill="1" applyBorder="1" applyAlignment="1">
      <alignment vertical="center"/>
    </xf>
    <xf numFmtId="0" fontId="8" fillId="6" borderId="0" xfId="5" applyFont="1" applyFill="1" applyBorder="1" applyAlignment="1">
      <alignment horizontal="left" vertical="center" wrapText="1"/>
    </xf>
    <xf numFmtId="14" fontId="15" fillId="0" borderId="0" xfId="2" applyNumberFormat="1" applyFont="1" applyAlignment="1">
      <alignment vertical="center"/>
    </xf>
    <xf numFmtId="0" fontId="15" fillId="0" borderId="0" xfId="2" applyFont="1" applyAlignment="1">
      <alignment horizontal="right" vertical="center"/>
    </xf>
    <xf numFmtId="165" fontId="15" fillId="0" borderId="0" xfId="2" applyNumberFormat="1" applyFont="1" applyAlignment="1">
      <alignment vertical="center"/>
    </xf>
    <xf numFmtId="164" fontId="15" fillId="0" borderId="0" xfId="6" applyNumberFormat="1" applyFont="1" applyFill="1" applyBorder="1" applyAlignment="1">
      <alignment vertical="center"/>
    </xf>
    <xf numFmtId="14" fontId="15" fillId="0" borderId="0" xfId="6" applyNumberFormat="1" applyFont="1" applyFill="1" applyBorder="1" applyAlignment="1">
      <alignment vertical="center"/>
    </xf>
    <xf numFmtId="1" fontId="15" fillId="0" borderId="0" xfId="6" applyNumberFormat="1" applyFont="1" applyFill="1" applyBorder="1" applyAlignment="1">
      <alignment vertical="center"/>
    </xf>
    <xf numFmtId="166" fontId="15" fillId="0" borderId="0" xfId="6" applyFont="1" applyFill="1" applyBorder="1" applyAlignment="1">
      <alignment vertical="center"/>
    </xf>
    <xf numFmtId="9" fontId="15" fillId="0" borderId="0" xfId="1" applyFont="1" applyFill="1" applyBorder="1" applyAlignment="1">
      <alignment vertical="center"/>
    </xf>
    <xf numFmtId="0" fontId="8" fillId="0" borderId="0" xfId="5" applyFont="1" applyFill="1" applyBorder="1" applyAlignment="1">
      <alignment horizontal="left" vertical="center" wrapText="1"/>
    </xf>
    <xf numFmtId="0" fontId="15" fillId="7" borderId="0" xfId="5" applyFont="1" applyFill="1" applyBorder="1" applyAlignment="1">
      <alignment horizontal="left" vertical="center" wrapText="1"/>
    </xf>
    <xf numFmtId="0" fontId="15" fillId="0" borderId="0" xfId="5" applyFont="1" applyFill="1" applyBorder="1" applyAlignment="1">
      <alignment horizontal="left" vertical="center" wrapText="1"/>
    </xf>
    <xf numFmtId="168" fontId="15" fillId="0" borderId="0" xfId="6" applyNumberFormat="1" applyFont="1" applyFill="1" applyBorder="1" applyAlignment="1">
      <alignment vertical="center"/>
    </xf>
    <xf numFmtId="165" fontId="14" fillId="0" borderId="0" xfId="2" applyNumberFormat="1" applyFont="1" applyAlignment="1">
      <alignment vertical="center"/>
    </xf>
    <xf numFmtId="0" fontId="14" fillId="7" borderId="0" xfId="2" applyFont="1" applyFill="1" applyAlignment="1">
      <alignment vertical="center"/>
    </xf>
    <xf numFmtId="0" fontId="14" fillId="0" borderId="7" xfId="2" applyFont="1" applyBorder="1" applyAlignment="1">
      <alignment vertical="center"/>
    </xf>
    <xf numFmtId="0" fontId="15" fillId="0" borderId="7" xfId="2" applyFont="1" applyBorder="1" applyAlignment="1">
      <alignment vertical="center"/>
    </xf>
    <xf numFmtId="169" fontId="15" fillId="0" borderId="0" xfId="2" applyNumberFormat="1" applyFont="1" applyAlignment="1">
      <alignment vertical="center"/>
    </xf>
    <xf numFmtId="0" fontId="14" fillId="0" borderId="0" xfId="2" applyFont="1" applyAlignment="1">
      <alignment horizontal="right" vertical="center"/>
    </xf>
    <xf numFmtId="0" fontId="14" fillId="0" borderId="0" xfId="2" applyFont="1" applyAlignment="1">
      <alignment vertical="center" wrapText="1"/>
    </xf>
    <xf numFmtId="0" fontId="14" fillId="0" borderId="0" xfId="2" applyFont="1" applyAlignment="1">
      <alignment horizontal="left" vertical="center" wrapText="1"/>
    </xf>
    <xf numFmtId="169" fontId="14" fillId="0" borderId="0" xfId="2" applyNumberFormat="1" applyFont="1" applyAlignment="1">
      <alignment vertical="center"/>
    </xf>
    <xf numFmtId="9" fontId="15" fillId="0" borderId="0" xfId="1" applyFont="1" applyFill="1" applyBorder="1" applyAlignment="1">
      <alignment horizontal="center" vertical="center"/>
    </xf>
    <xf numFmtId="9" fontId="15" fillId="0" borderId="0" xfId="2" applyNumberFormat="1" applyFont="1" applyAlignment="1">
      <alignment vertical="center"/>
    </xf>
    <xf numFmtId="0" fontId="14" fillId="0" borderId="0" xfId="0" applyFont="1" applyAlignment="1">
      <alignment wrapText="1"/>
    </xf>
    <xf numFmtId="0" fontId="14" fillId="0" borderId="22" xfId="2" applyFont="1" applyBorder="1" applyAlignment="1">
      <alignment vertical="center"/>
    </xf>
    <xf numFmtId="0" fontId="15" fillId="0" borderId="22" xfId="2" applyFont="1" applyBorder="1" applyAlignment="1">
      <alignment vertical="center"/>
    </xf>
    <xf numFmtId="0" fontId="14" fillId="0" borderId="0" xfId="0" applyFont="1"/>
    <xf numFmtId="0" fontId="15" fillId="0" borderId="0" xfId="0" applyFont="1"/>
    <xf numFmtId="5" fontId="14" fillId="0" borderId="22" xfId="2" applyNumberFormat="1" applyFont="1" applyBorder="1" applyAlignment="1">
      <alignment vertical="center"/>
    </xf>
    <xf numFmtId="5" fontId="15" fillId="0" borderId="0" xfId="2" applyNumberFormat="1" applyFont="1" applyAlignment="1">
      <alignment vertical="center"/>
    </xf>
    <xf numFmtId="5" fontId="15" fillId="0" borderId="0" xfId="6" applyNumberFormat="1" applyFont="1" applyFill="1" applyBorder="1" applyAlignment="1">
      <alignment vertical="center"/>
    </xf>
    <xf numFmtId="5" fontId="14" fillId="0" borderId="0" xfId="2" applyNumberFormat="1" applyFont="1" applyAlignment="1">
      <alignment vertical="center"/>
    </xf>
    <xf numFmtId="5" fontId="15" fillId="0" borderId="7" xfId="2" applyNumberFormat="1" applyFont="1" applyBorder="1" applyAlignment="1">
      <alignment vertical="center"/>
    </xf>
    <xf numFmtId="5" fontId="15" fillId="0" borderId="0" xfId="14" applyNumberFormat="1" applyFont="1" applyFill="1" applyAlignment="1">
      <alignment horizontal="center"/>
    </xf>
    <xf numFmtId="5" fontId="15" fillId="0" borderId="0" xfId="0" applyNumberFormat="1" applyFont="1"/>
    <xf numFmtId="5" fontId="15" fillId="7" borderId="0" xfId="2" applyNumberFormat="1" applyFont="1" applyFill="1" applyAlignment="1">
      <alignment vertical="center"/>
    </xf>
    <xf numFmtId="5" fontId="14" fillId="0" borderId="0" xfId="2" applyNumberFormat="1" applyFont="1" applyAlignment="1">
      <alignment horizontal="right" vertical="center"/>
    </xf>
    <xf numFmtId="5" fontId="15" fillId="12" borderId="0" xfId="14" applyNumberFormat="1" applyFont="1" applyFill="1" applyAlignment="1">
      <alignment horizontal="right"/>
    </xf>
    <xf numFmtId="5" fontId="15" fillId="0" borderId="0" xfId="14" applyNumberFormat="1" applyFont="1" applyFill="1" applyAlignment="1">
      <alignment horizontal="right"/>
    </xf>
    <xf numFmtId="5" fontId="15" fillId="0" borderId="0" xfId="2" applyNumberFormat="1" applyFont="1" applyAlignment="1">
      <alignment horizontal="right" vertical="center"/>
    </xf>
    <xf numFmtId="5" fontId="14" fillId="0" borderId="22" xfId="14" applyNumberFormat="1" applyFont="1" applyFill="1" applyBorder="1" applyAlignment="1">
      <alignment horizontal="right" vertical="center"/>
    </xf>
    <xf numFmtId="5" fontId="15" fillId="7" borderId="0" xfId="2" applyNumberFormat="1" applyFont="1" applyFill="1" applyAlignment="1">
      <alignment horizontal="right" vertical="center"/>
    </xf>
    <xf numFmtId="0" fontId="16" fillId="13" borderId="22" xfId="2" applyFont="1" applyFill="1" applyBorder="1" applyAlignment="1">
      <alignment vertical="center"/>
    </xf>
    <xf numFmtId="5" fontId="16" fillId="13" borderId="22" xfId="2" applyNumberFormat="1" applyFont="1" applyFill="1" applyBorder="1" applyAlignment="1">
      <alignment vertical="center"/>
    </xf>
    <xf numFmtId="5" fontId="15" fillId="0" borderId="0" xfId="2" applyNumberFormat="1" applyFont="1" applyAlignment="1">
      <alignment vertical="center" wrapText="1"/>
    </xf>
    <xf numFmtId="5" fontId="15" fillId="12" borderId="0" xfId="6" applyNumberFormat="1" applyFont="1" applyFill="1" applyBorder="1" applyAlignment="1">
      <alignment vertical="center"/>
    </xf>
    <xf numFmtId="9" fontId="15" fillId="12" borderId="0" xfId="1" applyFont="1" applyFill="1" applyBorder="1" applyAlignment="1">
      <alignment vertical="center"/>
    </xf>
    <xf numFmtId="5" fontId="15" fillId="0" borderId="0" xfId="14" applyNumberFormat="1" applyFont="1" applyFill="1" applyBorder="1" applyAlignment="1">
      <alignment vertical="center"/>
    </xf>
    <xf numFmtId="0" fontId="17" fillId="0" borderId="0" xfId="3" applyFont="1" applyAlignment="1">
      <alignment wrapText="1"/>
    </xf>
    <xf numFmtId="0" fontId="14" fillId="0" borderId="7" xfId="4" applyFont="1" applyFill="1" applyBorder="1" applyAlignment="1">
      <alignment vertical="center"/>
    </xf>
    <xf numFmtId="0" fontId="14" fillId="0" borderId="7" xfId="2" applyFont="1" applyBorder="1" applyAlignment="1">
      <alignment horizontal="left" vertical="center" wrapText="1"/>
    </xf>
    <xf numFmtId="165" fontId="14" fillId="0" borderId="7" xfId="2" applyNumberFormat="1" applyFont="1" applyBorder="1" applyAlignment="1">
      <alignment vertical="center"/>
    </xf>
    <xf numFmtId="169" fontId="15" fillId="0" borderId="22" xfId="2" applyNumberFormat="1" applyFont="1" applyBorder="1" applyAlignment="1">
      <alignment vertical="center"/>
    </xf>
    <xf numFmtId="1" fontId="15" fillId="12" borderId="0" xfId="1" applyNumberFormat="1" applyFont="1" applyFill="1" applyBorder="1" applyAlignment="1">
      <alignment vertical="center"/>
    </xf>
    <xf numFmtId="164" fontId="16" fillId="0" borderId="0" xfId="5" applyNumberFormat="1" applyFont="1" applyFill="1" applyBorder="1" applyAlignment="1">
      <alignment horizontal="center" vertical="center"/>
    </xf>
    <xf numFmtId="1" fontId="16" fillId="0" borderId="0" xfId="5" applyNumberFormat="1" applyFont="1" applyFill="1" applyBorder="1" applyAlignment="1">
      <alignment horizontal="center" vertical="center"/>
    </xf>
    <xf numFmtId="0" fontId="15" fillId="0" borderId="0" xfId="4" applyFont="1" applyFill="1" applyBorder="1" applyAlignment="1">
      <alignment vertical="center"/>
    </xf>
    <xf numFmtId="0" fontId="14" fillId="0" borderId="0" xfId="10" applyFont="1" applyAlignment="1">
      <alignment horizontal="left" vertical="center"/>
    </xf>
    <xf numFmtId="0" fontId="14" fillId="0" borderId="0" xfId="10" applyFont="1" applyAlignment="1">
      <alignment vertical="center"/>
    </xf>
    <xf numFmtId="9" fontId="16" fillId="13" borderId="0" xfId="2" applyNumberFormat="1" applyFont="1" applyFill="1" applyAlignment="1">
      <alignment vertical="center"/>
    </xf>
    <xf numFmtId="164" fontId="15" fillId="0" borderId="0" xfId="2" applyNumberFormat="1" applyFont="1" applyAlignment="1">
      <alignment vertical="center"/>
    </xf>
    <xf numFmtId="171" fontId="15" fillId="0" borderId="0" xfId="6" applyNumberFormat="1" applyFont="1" applyFill="1" applyBorder="1" applyAlignment="1">
      <alignment vertical="center"/>
    </xf>
    <xf numFmtId="5" fontId="15" fillId="0" borderId="0" xfId="0" applyNumberFormat="1" applyFont="1" applyAlignment="1">
      <alignment horizontal="right"/>
    </xf>
    <xf numFmtId="165" fontId="15" fillId="0" borderId="0" xfId="14" applyNumberFormat="1" applyFont="1" applyFill="1" applyAlignment="1">
      <alignment horizontal="right"/>
    </xf>
    <xf numFmtId="1" fontId="15" fillId="0" borderId="0" xfId="2" applyNumberFormat="1" applyFont="1" applyAlignment="1">
      <alignment vertical="center"/>
    </xf>
    <xf numFmtId="2" fontId="16" fillId="13" borderId="0" xfId="2" applyNumberFormat="1" applyFont="1" applyFill="1" applyAlignment="1">
      <alignment vertical="center"/>
    </xf>
    <xf numFmtId="0" fontId="7" fillId="8" borderId="18" xfId="0" applyFont="1" applyFill="1" applyBorder="1" applyAlignment="1">
      <alignment horizontal="left" vertical="center" wrapText="1"/>
    </xf>
    <xf numFmtId="0" fontId="7" fillId="8" borderId="19" xfId="0" applyFont="1" applyFill="1" applyBorder="1" applyAlignment="1">
      <alignment horizontal="left" vertical="center" wrapText="1"/>
    </xf>
    <xf numFmtId="0" fontId="7" fillId="8" borderId="20" xfId="0" applyFont="1" applyFill="1" applyBorder="1" applyAlignment="1">
      <alignment horizontal="left" vertical="center" wrapText="1"/>
    </xf>
    <xf numFmtId="0" fontId="2" fillId="6" borderId="9" xfId="10" applyFont="1" applyFill="1" applyBorder="1" applyAlignment="1">
      <alignment horizontal="center" vertical="top"/>
    </xf>
    <xf numFmtId="0" fontId="2" fillId="6" borderId="10" xfId="10" applyFont="1" applyFill="1" applyBorder="1" applyAlignment="1">
      <alignment horizontal="center" vertical="top"/>
    </xf>
    <xf numFmtId="0" fontId="7" fillId="7" borderId="1" xfId="10" applyFont="1" applyFill="1" applyBorder="1" applyAlignment="1" applyProtection="1">
      <alignment horizontal="left" vertical="center" wrapText="1"/>
      <protection locked="0"/>
    </xf>
    <xf numFmtId="0" fontId="7" fillId="7" borderId="3" xfId="10" applyFont="1" applyFill="1" applyBorder="1" applyAlignment="1" applyProtection="1">
      <alignment horizontal="left" vertical="center" wrapText="1"/>
      <protection locked="0"/>
    </xf>
    <xf numFmtId="0" fontId="7" fillId="7" borderId="4" xfId="10" applyFont="1" applyFill="1" applyBorder="1" applyAlignment="1" applyProtection="1">
      <alignment horizontal="left" vertical="center" wrapText="1"/>
      <protection locked="0"/>
    </xf>
    <xf numFmtId="0" fontId="7" fillId="7" borderId="5" xfId="10" applyFont="1" applyFill="1" applyBorder="1" applyAlignment="1" applyProtection="1">
      <alignment horizontal="left" vertical="center" wrapText="1"/>
      <protection locked="0"/>
    </xf>
    <xf numFmtId="0" fontId="7" fillId="7" borderId="6" xfId="10" applyFont="1" applyFill="1" applyBorder="1" applyAlignment="1" applyProtection="1">
      <alignment horizontal="left" vertical="center" wrapText="1"/>
      <protection locked="0"/>
    </xf>
    <xf numFmtId="0" fontId="7" fillId="7" borderId="8" xfId="10" applyFont="1" applyFill="1" applyBorder="1" applyAlignment="1" applyProtection="1">
      <alignment horizontal="left" vertical="center" wrapText="1"/>
      <protection locked="0"/>
    </xf>
    <xf numFmtId="0" fontId="18" fillId="12" borderId="0" xfId="3" applyFont="1" applyFill="1" applyAlignment="1">
      <alignment horizontal="left" vertical="center"/>
    </xf>
    <xf numFmtId="0" fontId="15" fillId="7" borderId="1" xfId="2" applyFont="1" applyFill="1" applyBorder="1" applyAlignment="1">
      <alignment horizontal="center" vertical="center" wrapText="1"/>
    </xf>
    <xf numFmtId="0" fontId="14" fillId="7" borderId="2" xfId="4" applyFont="1" applyFill="1" applyBorder="1" applyAlignment="1">
      <alignment horizontal="center" vertical="center"/>
    </xf>
    <xf numFmtId="0" fontId="14" fillId="7" borderId="2" xfId="4" applyFont="1" applyFill="1" applyBorder="1" applyAlignment="1">
      <alignment horizontal="center" vertical="center" wrapText="1"/>
    </xf>
    <xf numFmtId="0" fontId="14" fillId="7" borderId="3" xfId="4" applyFont="1" applyFill="1" applyBorder="1" applyAlignment="1">
      <alignment vertical="center"/>
    </xf>
    <xf numFmtId="5" fontId="15" fillId="0" borderId="0" xfId="2" applyNumberFormat="1" applyFont="1" applyBorder="1" applyAlignment="1">
      <alignment vertical="center"/>
    </xf>
    <xf numFmtId="3" fontId="15" fillId="0" borderId="0" xfId="2" applyNumberFormat="1" applyFont="1" applyBorder="1" applyAlignment="1">
      <alignment horizontal="center" vertical="center" wrapText="1"/>
    </xf>
    <xf numFmtId="0" fontId="15" fillId="0" borderId="5" xfId="2" applyFont="1" applyBorder="1" applyAlignment="1">
      <alignment vertical="center" wrapText="1"/>
    </xf>
    <xf numFmtId="3" fontId="15" fillId="0" borderId="7" xfId="2" applyNumberFormat="1" applyFont="1" applyBorder="1" applyAlignment="1">
      <alignment horizontal="center" vertical="center" wrapText="1"/>
    </xf>
    <xf numFmtId="9" fontId="15" fillId="0" borderId="7" xfId="1" applyFont="1" applyFill="1" applyBorder="1" applyAlignment="1">
      <alignment horizontal="center" vertical="center" wrapText="1"/>
    </xf>
    <xf numFmtId="167" fontId="15" fillId="0" borderId="7" xfId="1" applyNumberFormat="1" applyFont="1" applyFill="1" applyBorder="1" applyAlignment="1">
      <alignment horizontal="center" vertical="center" wrapText="1"/>
    </xf>
    <xf numFmtId="0" fontId="15" fillId="0" borderId="8" xfId="2" applyFont="1" applyBorder="1" applyAlignment="1">
      <alignment vertical="center" wrapText="1"/>
    </xf>
    <xf numFmtId="5" fontId="15" fillId="0" borderId="5" xfId="14" applyNumberFormat="1" applyFont="1" applyFill="1" applyBorder="1" applyAlignment="1">
      <alignment vertical="center"/>
    </xf>
    <xf numFmtId="3" fontId="15" fillId="0" borderId="5" xfId="2" applyNumberFormat="1" applyFont="1" applyBorder="1" applyAlignment="1">
      <alignment vertical="center"/>
    </xf>
    <xf numFmtId="3" fontId="15" fillId="0" borderId="8" xfId="2" applyNumberFormat="1" applyFont="1" applyBorder="1" applyAlignment="1">
      <alignment vertical="center"/>
    </xf>
    <xf numFmtId="164" fontId="14" fillId="7" borderId="1" xfId="5" applyNumberFormat="1" applyFont="1" applyFill="1" applyBorder="1" applyAlignment="1">
      <alignment horizontal="left" vertical="center"/>
    </xf>
    <xf numFmtId="0" fontId="14" fillId="0" borderId="4" xfId="2" applyFont="1" applyBorder="1" applyAlignment="1">
      <alignment vertical="center" wrapText="1"/>
    </xf>
    <xf numFmtId="0" fontId="14" fillId="0" borderId="6" xfId="2" applyFont="1" applyBorder="1" applyAlignment="1">
      <alignment vertical="center" wrapText="1"/>
    </xf>
    <xf numFmtId="0" fontId="14" fillId="0" borderId="4" xfId="2" applyFont="1" applyBorder="1" applyAlignment="1">
      <alignment horizontal="left" vertical="center" wrapText="1" indent="1"/>
    </xf>
    <xf numFmtId="0" fontId="14" fillId="0" borderId="6" xfId="2" applyFont="1" applyBorder="1" applyAlignment="1">
      <alignment horizontal="left" vertical="center" wrapText="1" indent="1"/>
    </xf>
    <xf numFmtId="164" fontId="14" fillId="7" borderId="2" xfId="5" applyNumberFormat="1" applyFont="1" applyFill="1" applyBorder="1" applyAlignment="1">
      <alignment horizontal="center" vertical="center"/>
    </xf>
    <xf numFmtId="164" fontId="14" fillId="7" borderId="3" xfId="5" applyNumberFormat="1" applyFont="1" applyFill="1" applyBorder="1" applyAlignment="1">
      <alignment horizontal="center" vertical="center"/>
    </xf>
    <xf numFmtId="5" fontId="15" fillId="0" borderId="5" xfId="14" applyNumberFormat="1" applyFont="1" applyFill="1" applyBorder="1" applyAlignment="1">
      <alignment horizontal="center" vertical="center"/>
    </xf>
    <xf numFmtId="3" fontId="15" fillId="0" borderId="5" xfId="2" applyNumberFormat="1" applyFont="1" applyBorder="1" applyAlignment="1">
      <alignment horizontal="center" vertical="center"/>
    </xf>
    <xf numFmtId="3" fontId="15" fillId="0" borderId="8" xfId="2" applyNumberFormat="1" applyFont="1" applyBorder="1" applyAlignment="1">
      <alignment horizontal="center" vertical="center"/>
    </xf>
    <xf numFmtId="5" fontId="16" fillId="13" borderId="0" xfId="2" applyNumberFormat="1" applyFont="1" applyFill="1" applyAlignment="1">
      <alignment vertical="center"/>
    </xf>
    <xf numFmtId="5" fontId="15" fillId="0" borderId="7" xfId="14" applyNumberFormat="1" applyFont="1" applyFill="1" applyBorder="1" applyAlignment="1">
      <alignment vertical="center"/>
    </xf>
    <xf numFmtId="5" fontId="15" fillId="0" borderId="8" xfId="14" applyNumberFormat="1" applyFont="1" applyFill="1" applyBorder="1" applyAlignment="1">
      <alignment vertical="center"/>
    </xf>
  </cellXfs>
  <cellStyles count="15">
    <cellStyle name="20% - Accent6 2" xfId="7" xr:uid="{C69D491E-73BB-5E4C-B819-002E45AC4459}"/>
    <cellStyle name="60% - Accent6 2" xfId="4" xr:uid="{0E53DB68-1855-C642-B7C5-7CBA057A06CC}"/>
    <cellStyle name="Accent4 2" xfId="8" xr:uid="{A6F631E3-090B-A845-8415-42CD17770B1D}"/>
    <cellStyle name="Accent6 2" xfId="5" xr:uid="{2876F496-34CE-F247-89F1-43A9C3CBFE78}"/>
    <cellStyle name="Comma 2" xfId="6" xr:uid="{B6E6B6CA-75AC-2F4B-81D0-11A7191AB54D}"/>
    <cellStyle name="Comma 3" xfId="11" xr:uid="{FECCDA7C-F574-B144-89D1-7BED6DF0D6F3}"/>
    <cellStyle name="Currency" xfId="14" builtinId="4"/>
    <cellStyle name="Currency 2" xfId="12" xr:uid="{CACF18E6-74CB-3848-8689-57F92E846475}"/>
    <cellStyle name="Normal" xfId="0" builtinId="0"/>
    <cellStyle name="Normal 2" xfId="9" xr:uid="{9A335BC6-2E34-E44B-98CA-268C5A7524DA}"/>
    <cellStyle name="Normal 2 2" xfId="3" xr:uid="{0556078A-9431-E34E-A883-8C705C11D2A2}"/>
    <cellStyle name="Normal 2 2 2" xfId="10" xr:uid="{83C0521A-BECC-8D40-B390-AB613809B357}"/>
    <cellStyle name="Normal 5" xfId="2" xr:uid="{9EB66E87-FFDE-6F4F-B16E-6D2F6DE07AC7}"/>
    <cellStyle name="Percent" xfId="1" builtinId="5"/>
    <cellStyle name="Percent 2" xfId="13" xr:uid="{A8BFAEAD-4B3A-4545-970A-F6B6EAFBD0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'Options comparison'!$B$23</c:f>
          <c:strCache>
            <c:ptCount val="1"/>
            <c:pt idx="0">
              <c:v> Revenue and cost savings 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'Options comparison'!$B$24</c:f>
              <c:strCache>
                <c:ptCount val="1"/>
                <c:pt idx="0">
                  <c:v>[Insert name of option e.g., Do minimum]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'Options comparison'!$D$23:$H$23</c:f>
              <c:strCache>
                <c:ptCount val="5"/>
                <c:pt idx="0">
                  <c:v> Year 1 </c:v>
                </c:pt>
                <c:pt idx="1">
                  <c:v> Year 2 </c:v>
                </c:pt>
                <c:pt idx="2">
                  <c:v> Year 3 </c:v>
                </c:pt>
                <c:pt idx="3">
                  <c:v> Year 4 </c:v>
                </c:pt>
                <c:pt idx="4">
                  <c:v> Year 5 </c:v>
                </c:pt>
              </c:strCache>
            </c:strRef>
          </c:cat>
          <c:val>
            <c:numRef>
              <c:f>'Options comparison'!$D$24:$H$24</c:f>
              <c:numCache>
                <c:formatCode>"$"#,##0_);\("$"#,##0\)</c:formatCode>
                <c:ptCount val="5"/>
                <c:pt idx="0">
                  <c:v>145000</c:v>
                </c:pt>
                <c:pt idx="1">
                  <c:v>134000</c:v>
                </c:pt>
                <c:pt idx="2">
                  <c:v>152000</c:v>
                </c:pt>
                <c:pt idx="3">
                  <c:v>188000</c:v>
                </c:pt>
                <c:pt idx="4">
                  <c:v>230000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C4-D243-A0EF-23CB7B04697D}"/>
            </c:ext>
          </c:extLst>
        </c:ser>
        <c:ser>
          <c:idx val="1"/>
          <c:order val="1"/>
          <c:tx>
            <c:strRef>
              <c:f>'Options comparison'!$B$25</c:f>
              <c:strCache>
                <c:ptCount val="1"/>
                <c:pt idx="0">
                  <c:v>[Insert name of option e.g., Focus on new revenue]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'Options comparison'!$D$23:$H$23</c:f>
              <c:strCache>
                <c:ptCount val="5"/>
                <c:pt idx="0">
                  <c:v> Year 1 </c:v>
                </c:pt>
                <c:pt idx="1">
                  <c:v> Year 2 </c:v>
                </c:pt>
                <c:pt idx="2">
                  <c:v> Year 3 </c:v>
                </c:pt>
                <c:pt idx="3">
                  <c:v> Year 4 </c:v>
                </c:pt>
                <c:pt idx="4">
                  <c:v> Year 5 </c:v>
                </c:pt>
              </c:strCache>
            </c:strRef>
          </c:cat>
          <c:val>
            <c:numRef>
              <c:f>'Options comparison'!$D$25:$H$25</c:f>
              <c:numCache>
                <c:formatCode>"$"#,##0_);\("$"#,##0\)</c:formatCode>
                <c:ptCount val="5"/>
                <c:pt idx="0">
                  <c:v>95000</c:v>
                </c:pt>
                <c:pt idx="1">
                  <c:v>104000</c:v>
                </c:pt>
                <c:pt idx="2">
                  <c:v>122000</c:v>
                </c:pt>
                <c:pt idx="3">
                  <c:v>158000</c:v>
                </c:pt>
                <c:pt idx="4">
                  <c:v>200000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C4-D243-A0EF-23CB7B04697D}"/>
            </c:ext>
          </c:extLst>
        </c:ser>
        <c:ser>
          <c:idx val="2"/>
          <c:order val="2"/>
          <c:tx>
            <c:strRef>
              <c:f>'Options comparison'!$B$26</c:f>
              <c:strCache>
                <c:ptCount val="1"/>
                <c:pt idx="0">
                  <c:v>[Insert name of option e.g., High growth]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'Options comparison'!$D$23:$H$23</c:f>
              <c:strCache>
                <c:ptCount val="5"/>
                <c:pt idx="0">
                  <c:v> Year 1 </c:v>
                </c:pt>
                <c:pt idx="1">
                  <c:v> Year 2 </c:v>
                </c:pt>
                <c:pt idx="2">
                  <c:v> Year 3 </c:v>
                </c:pt>
                <c:pt idx="3">
                  <c:v> Year 4 </c:v>
                </c:pt>
                <c:pt idx="4">
                  <c:v> Year 5 </c:v>
                </c:pt>
              </c:strCache>
            </c:strRef>
          </c:cat>
          <c:val>
            <c:numRef>
              <c:f>'Options comparison'!$D$26:$H$26</c:f>
              <c:numCache>
                <c:formatCode>"$"#,##0_);\("$"#,##0\)</c:formatCode>
                <c:ptCount val="5"/>
                <c:pt idx="0">
                  <c:v>265000</c:v>
                </c:pt>
                <c:pt idx="1">
                  <c:v>254000</c:v>
                </c:pt>
                <c:pt idx="2">
                  <c:v>290000</c:v>
                </c:pt>
                <c:pt idx="3">
                  <c:v>368000</c:v>
                </c:pt>
                <c:pt idx="4">
                  <c:v>410000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C4-D243-A0EF-23CB7B046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6429904"/>
        <c:axId val="1366432400"/>
      </c:lineChart>
      <c:catAx>
        <c:axId val="136642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432400"/>
        <c:crosses val="autoZero"/>
        <c:auto val="1"/>
        <c:lblAlgn val="ctr"/>
        <c:lblOffset val="100"/>
        <c:noMultiLvlLbl val="0"/>
      </c:catAx>
      <c:valAx>
        <c:axId val="136643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75000"/>
                </a:schemeClr>
              </a:solidFill>
              <a:round/>
            </a:ln>
            <a:effectLst/>
          </c:spPr>
        </c:majorGridlines>
        <c:numFmt formatCode="&quot;$&quot;#,##0_);\(&quot;$&quot;#,##0\)" sourceLinked="1"/>
        <c:majorTickMark val="none"/>
        <c:minorTickMark val="none"/>
        <c:tickLblPos val="nextTo"/>
        <c:spPr>
          <a:noFill/>
          <a:ln>
            <a:solidFill>
              <a:schemeClr val="bg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42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tx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'Options comparison'!$B$28</c:f>
          <c:strCache>
            <c:ptCount val="1"/>
            <c:pt idx="0">
              <c:v> EBITDA 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'Options comparison'!$B$29</c:f>
              <c:strCache>
                <c:ptCount val="1"/>
                <c:pt idx="0">
                  <c:v>[Insert name of option e.g., Do minimum]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'Options comparison'!$D$23:$H$23</c:f>
              <c:strCache>
                <c:ptCount val="5"/>
                <c:pt idx="0">
                  <c:v> Year 1 </c:v>
                </c:pt>
                <c:pt idx="1">
                  <c:v> Year 2 </c:v>
                </c:pt>
                <c:pt idx="2">
                  <c:v> Year 3 </c:v>
                </c:pt>
                <c:pt idx="3">
                  <c:v> Year 4 </c:v>
                </c:pt>
                <c:pt idx="4">
                  <c:v> Year 5 </c:v>
                </c:pt>
              </c:strCache>
            </c:strRef>
          </c:cat>
          <c:val>
            <c:numRef>
              <c:f>'Options comparison'!$D$29:$H$29</c:f>
              <c:numCache>
                <c:formatCode>"$"#,##0_);\("$"#,##0\)</c:formatCode>
                <c:ptCount val="5"/>
                <c:pt idx="0">
                  <c:v>95000</c:v>
                </c:pt>
                <c:pt idx="1">
                  <c:v>84000</c:v>
                </c:pt>
                <c:pt idx="2">
                  <c:v>102000</c:v>
                </c:pt>
                <c:pt idx="3">
                  <c:v>138000</c:v>
                </c:pt>
                <c:pt idx="4">
                  <c:v>180000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50-A344-B985-74FB3EA5FB19}"/>
            </c:ext>
          </c:extLst>
        </c:ser>
        <c:ser>
          <c:idx val="1"/>
          <c:order val="1"/>
          <c:tx>
            <c:strRef>
              <c:f>'Options comparison'!$B$30</c:f>
              <c:strCache>
                <c:ptCount val="1"/>
                <c:pt idx="0">
                  <c:v>[Insert name of option e.g., Focus on new revenue]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'Options comparison'!$D$23:$H$23</c:f>
              <c:strCache>
                <c:ptCount val="5"/>
                <c:pt idx="0">
                  <c:v> Year 1 </c:v>
                </c:pt>
                <c:pt idx="1">
                  <c:v> Year 2 </c:v>
                </c:pt>
                <c:pt idx="2">
                  <c:v> Year 3 </c:v>
                </c:pt>
                <c:pt idx="3">
                  <c:v> Year 4 </c:v>
                </c:pt>
                <c:pt idx="4">
                  <c:v> Year 5 </c:v>
                </c:pt>
              </c:strCache>
            </c:strRef>
          </c:cat>
          <c:val>
            <c:numRef>
              <c:f>'Options comparison'!$D$30:$H$30</c:f>
              <c:numCache>
                <c:formatCode>"$"#,##0_);\("$"#,##0\)</c:formatCode>
                <c:ptCount val="5"/>
                <c:pt idx="0">
                  <c:v>69000</c:v>
                </c:pt>
                <c:pt idx="1">
                  <c:v>78000</c:v>
                </c:pt>
                <c:pt idx="2">
                  <c:v>96000</c:v>
                </c:pt>
                <c:pt idx="3">
                  <c:v>132000</c:v>
                </c:pt>
                <c:pt idx="4">
                  <c:v>174000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50-A344-B985-74FB3EA5FB19}"/>
            </c:ext>
          </c:extLst>
        </c:ser>
        <c:ser>
          <c:idx val="2"/>
          <c:order val="2"/>
          <c:tx>
            <c:strRef>
              <c:f>'Options comparison'!$B$31</c:f>
              <c:strCache>
                <c:ptCount val="1"/>
                <c:pt idx="0">
                  <c:v>[Insert name of option e.g., High growth]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'Options comparison'!$D$23:$H$23</c:f>
              <c:strCache>
                <c:ptCount val="5"/>
                <c:pt idx="0">
                  <c:v> Year 1 </c:v>
                </c:pt>
                <c:pt idx="1">
                  <c:v> Year 2 </c:v>
                </c:pt>
                <c:pt idx="2">
                  <c:v> Year 3 </c:v>
                </c:pt>
                <c:pt idx="3">
                  <c:v> Year 4 </c:v>
                </c:pt>
                <c:pt idx="4">
                  <c:v> Year 5 </c:v>
                </c:pt>
              </c:strCache>
            </c:strRef>
          </c:cat>
          <c:val>
            <c:numRef>
              <c:f>'Options comparison'!$D$31:$H$31</c:f>
              <c:numCache>
                <c:formatCode>"$"#,##0_);\("$"#,##0\)</c:formatCode>
                <c:ptCount val="5"/>
                <c:pt idx="0">
                  <c:v>125000</c:v>
                </c:pt>
                <c:pt idx="1">
                  <c:v>114000</c:v>
                </c:pt>
                <c:pt idx="2">
                  <c:v>150000</c:v>
                </c:pt>
                <c:pt idx="3">
                  <c:v>228000</c:v>
                </c:pt>
                <c:pt idx="4">
                  <c:v>270000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50-A344-B985-74FB3EA5F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6429904"/>
        <c:axId val="1366432400"/>
      </c:lineChart>
      <c:catAx>
        <c:axId val="136642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432400"/>
        <c:crosses val="autoZero"/>
        <c:auto val="1"/>
        <c:lblAlgn val="ctr"/>
        <c:lblOffset val="100"/>
        <c:noMultiLvlLbl val="0"/>
      </c:catAx>
      <c:valAx>
        <c:axId val="136643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65000"/>
                </a:schemeClr>
              </a:solidFill>
              <a:round/>
            </a:ln>
            <a:effectLst/>
          </c:spPr>
        </c:majorGridlines>
        <c:numFmt formatCode="&quot;$&quot;#,##0_);\(&quot;$&quot;#,##0\)" sourceLinked="1"/>
        <c:majorTickMark val="none"/>
        <c:minorTickMark val="none"/>
        <c:tickLblPos val="nextTo"/>
        <c:spPr>
          <a:noFill/>
          <a:ln>
            <a:solidFill>
              <a:schemeClr val="bg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42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tx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'Options comparison'!$B$33</c:f>
          <c:strCache>
            <c:ptCount val="1"/>
            <c:pt idx="0">
              <c:v> Total cash flows 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'Options comparison'!$B$34</c:f>
              <c:strCache>
                <c:ptCount val="1"/>
                <c:pt idx="0">
                  <c:v>[Insert name of option e.g., Do minimum]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'Options comparison'!$C$33:$I$33</c:f>
              <c:strCache>
                <c:ptCount val="7"/>
                <c:pt idx="0">
                  <c:v> Entry </c:v>
                </c:pt>
                <c:pt idx="1">
                  <c:v> Year 1 </c:v>
                </c:pt>
                <c:pt idx="2">
                  <c:v> Year 2 </c:v>
                </c:pt>
                <c:pt idx="3">
                  <c:v> Year 3 </c:v>
                </c:pt>
                <c:pt idx="4">
                  <c:v> Year 4 </c:v>
                </c:pt>
                <c:pt idx="5">
                  <c:v> Year 5 </c:v>
                </c:pt>
                <c:pt idx="6">
                  <c:v> Exit </c:v>
                </c:pt>
              </c:strCache>
            </c:strRef>
          </c:cat>
          <c:val>
            <c:numRef>
              <c:f>('Options comparison'!$C$34,'Options comparison'!$D$34:$H$34)</c:f>
              <c:numCache>
                <c:formatCode>"$"#,##0_);\("$"#,##0\)</c:formatCode>
                <c:ptCount val="6"/>
                <c:pt idx="0">
                  <c:v>-162000</c:v>
                </c:pt>
                <c:pt idx="1">
                  <c:v>25477.315068493153</c:v>
                </c:pt>
                <c:pt idx="2">
                  <c:v>24788.663013698635</c:v>
                </c:pt>
                <c:pt idx="3">
                  <c:v>39604.966027397269</c:v>
                </c:pt>
                <c:pt idx="4">
                  <c:v>67063.208054794522</c:v>
                </c:pt>
                <c:pt idx="5">
                  <c:v>101137.16779726028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53-7541-857C-D1A4D025A332}"/>
            </c:ext>
          </c:extLst>
        </c:ser>
        <c:ser>
          <c:idx val="1"/>
          <c:order val="1"/>
          <c:tx>
            <c:strRef>
              <c:f>'Options comparison'!$B$35</c:f>
              <c:strCache>
                <c:ptCount val="1"/>
                <c:pt idx="0">
                  <c:v>[Insert name of option e.g., Focus on new revenue]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'Options comparison'!$C$33:$I$33</c:f>
              <c:strCache>
                <c:ptCount val="7"/>
                <c:pt idx="0">
                  <c:v> Entry </c:v>
                </c:pt>
                <c:pt idx="1">
                  <c:v> Year 1 </c:v>
                </c:pt>
                <c:pt idx="2">
                  <c:v> Year 2 </c:v>
                </c:pt>
                <c:pt idx="3">
                  <c:v> Year 3 </c:v>
                </c:pt>
                <c:pt idx="4">
                  <c:v> Year 4 </c:v>
                </c:pt>
                <c:pt idx="5">
                  <c:v> Year 5 </c:v>
                </c:pt>
                <c:pt idx="6">
                  <c:v> Exit </c:v>
                </c:pt>
              </c:strCache>
            </c:strRef>
          </c:cat>
          <c:val>
            <c:numRef>
              <c:f>('Options comparison'!$C$35,'Options comparison'!$D$35:$H$35)</c:f>
              <c:numCache>
                <c:formatCode>"$"#,##0_);\("$"#,##0\)</c:formatCode>
                <c:ptCount val="6"/>
                <c:pt idx="0">
                  <c:v>-162000</c:v>
                </c:pt>
                <c:pt idx="1">
                  <c:v>5197.3150684931534</c:v>
                </c:pt>
                <c:pt idx="2">
                  <c:v>20108.663013698635</c:v>
                </c:pt>
                <c:pt idx="3">
                  <c:v>34924.966027397255</c:v>
                </c:pt>
                <c:pt idx="4">
                  <c:v>62383.208054794522</c:v>
                </c:pt>
                <c:pt idx="5">
                  <c:v>96457.167797260277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53-7541-857C-D1A4D025A332}"/>
            </c:ext>
          </c:extLst>
        </c:ser>
        <c:ser>
          <c:idx val="2"/>
          <c:order val="2"/>
          <c:tx>
            <c:strRef>
              <c:f>'Options comparison'!$B$36</c:f>
              <c:strCache>
                <c:ptCount val="1"/>
                <c:pt idx="0">
                  <c:v>[Insert name of option e.g., High growth]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'Options comparison'!$C$33:$I$33</c:f>
              <c:strCache>
                <c:ptCount val="7"/>
                <c:pt idx="0">
                  <c:v> Entry </c:v>
                </c:pt>
                <c:pt idx="1">
                  <c:v> Year 1 </c:v>
                </c:pt>
                <c:pt idx="2">
                  <c:v> Year 2 </c:v>
                </c:pt>
                <c:pt idx="3">
                  <c:v> Year 3 </c:v>
                </c:pt>
                <c:pt idx="4">
                  <c:v> Year 4 </c:v>
                </c:pt>
                <c:pt idx="5">
                  <c:v> Year 5 </c:v>
                </c:pt>
                <c:pt idx="6">
                  <c:v> Exit </c:v>
                </c:pt>
              </c:strCache>
            </c:strRef>
          </c:cat>
          <c:val>
            <c:numRef>
              <c:f>('Options comparison'!$C$36,'Options comparison'!$D$36:$H$36)</c:f>
              <c:numCache>
                <c:formatCode>"$"#,##0_);\("$"#,##0\)</c:formatCode>
                <c:ptCount val="6"/>
                <c:pt idx="0">
                  <c:v>-306000</c:v>
                </c:pt>
                <c:pt idx="1">
                  <c:v>-7055.1780821917782</c:v>
                </c:pt>
                <c:pt idx="2">
                  <c:v>13254.263013698626</c:v>
                </c:pt>
                <c:pt idx="3">
                  <c:v>41211.572054794509</c:v>
                </c:pt>
                <c:pt idx="4">
                  <c:v>99605.907452054787</c:v>
                </c:pt>
                <c:pt idx="5">
                  <c:v>142369.29259726027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53-7541-857C-D1A4D025A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9635856"/>
        <c:axId val="1459633360"/>
      </c:lineChart>
      <c:catAx>
        <c:axId val="145963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633360"/>
        <c:crosses val="autoZero"/>
        <c:auto val="1"/>
        <c:lblAlgn val="ctr"/>
        <c:lblOffset val="100"/>
        <c:noMultiLvlLbl val="0"/>
      </c:catAx>
      <c:valAx>
        <c:axId val="145963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65000"/>
                </a:schemeClr>
              </a:solidFill>
              <a:round/>
            </a:ln>
            <a:effectLst/>
          </c:spPr>
        </c:majorGridlines>
        <c:numFmt formatCode="&quot;$&quot;#,##0_);\(&quot;$&quot;#,##0\)" sourceLinked="1"/>
        <c:majorTickMark val="none"/>
        <c:minorTickMark val="none"/>
        <c:tickLblPos val="nextTo"/>
        <c:spPr>
          <a:noFill/>
          <a:ln>
            <a:solidFill>
              <a:schemeClr val="bg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63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bg1"/>
                </a:solidFill>
              </a:rPr>
              <a:t>Cash flows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'Option 1'!$B$112</c:f>
              <c:strCache>
                <c:ptCount val="1"/>
                <c:pt idx="0">
                  <c:v>Cash flow from operations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'Option 1'!$C$37:$H$37</c:f>
              <c:strCache>
                <c:ptCount val="6"/>
                <c:pt idx="0">
                  <c:v> Entry 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'Option 1'!$C$112:$H$112</c:f>
              <c:numCache>
                <c:formatCode>"$"#,##0_);\("$"#,##0\)</c:formatCode>
                <c:ptCount val="6"/>
                <c:pt idx="0">
                  <c:v>0</c:v>
                </c:pt>
                <c:pt idx="1">
                  <c:v>57877.315068493153</c:v>
                </c:pt>
                <c:pt idx="2">
                  <c:v>57188.663013698635</c:v>
                </c:pt>
                <c:pt idx="3">
                  <c:v>72004.966027397269</c:v>
                </c:pt>
                <c:pt idx="4">
                  <c:v>99463.208054794522</c:v>
                </c:pt>
                <c:pt idx="5">
                  <c:v>133537.16779726028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B73-E04C-A6FB-AA4E7301F21F}"/>
            </c:ext>
          </c:extLst>
        </c:ser>
        <c:ser>
          <c:idx val="2"/>
          <c:order val="1"/>
          <c:tx>
            <c:strRef>
              <c:f>'Option 1'!$B$113</c:f>
              <c:strCache>
                <c:ptCount val="1"/>
                <c:pt idx="0">
                  <c:v>Cash flow from investments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3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'Option 1'!$C$37:$H$37</c:f>
              <c:strCache>
                <c:ptCount val="6"/>
                <c:pt idx="0">
                  <c:v> Entry 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'Option 1'!$C$113:$H$113</c:f>
              <c:numCache>
                <c:formatCode>"$"#,##0_);\("$"#,##0\)</c:formatCode>
                <c:ptCount val="6"/>
                <c:pt idx="0">
                  <c:v>-162000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B73-E04C-A6FB-AA4E7301F21F}"/>
            </c:ext>
          </c:extLst>
        </c:ser>
        <c:ser>
          <c:idx val="3"/>
          <c:order val="2"/>
          <c:tx>
            <c:strRef>
              <c:f>'Option 1'!$B$114</c:f>
              <c:strCache>
                <c:ptCount val="1"/>
                <c:pt idx="0">
                  <c:v>Cash flow from financing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5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'Option 1'!$C$37:$H$37</c:f>
              <c:strCache>
                <c:ptCount val="6"/>
                <c:pt idx="0">
                  <c:v> Entry 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'Option 1'!$C$114:$H$114</c:f>
              <c:numCache>
                <c:formatCode>"$"#,##0_);\("$"#,##0\)</c:formatCode>
                <c:ptCount val="6"/>
                <c:pt idx="0">
                  <c:v>0</c:v>
                </c:pt>
                <c:pt idx="1">
                  <c:v>-32400</c:v>
                </c:pt>
                <c:pt idx="2">
                  <c:v>-32400</c:v>
                </c:pt>
                <c:pt idx="3">
                  <c:v>-32400</c:v>
                </c:pt>
                <c:pt idx="4">
                  <c:v>-32400</c:v>
                </c:pt>
                <c:pt idx="5">
                  <c:v>-32400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B73-E04C-A6FB-AA4E7301F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631359696"/>
        <c:axId val="631721744"/>
      </c:barChart>
      <c:catAx>
        <c:axId val="631359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721744"/>
        <c:crosses val="autoZero"/>
        <c:auto val="1"/>
        <c:lblAlgn val="ctr"/>
        <c:lblOffset val="100"/>
        <c:noMultiLvlLbl val="0"/>
      </c:catAx>
      <c:valAx>
        <c:axId val="631721744"/>
        <c:scaling>
          <c:orientation val="minMax"/>
        </c:scaling>
        <c:delete val="0"/>
        <c:axPos val="l"/>
        <c:numFmt formatCode="&quot;$&quot;#,##0_);\(&quot;$&quot;#,##0\)" sourceLinked="1"/>
        <c:majorTickMark val="none"/>
        <c:minorTickMark val="none"/>
        <c:tickLblPos val="nextTo"/>
        <c:spPr>
          <a:noFill/>
          <a:ln>
            <a:solidFill>
              <a:schemeClr val="bg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359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bg1"/>
                </a:solidFill>
              </a:rPr>
              <a:t>Cash flows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'Option 2'!$B$112</c:f>
              <c:strCache>
                <c:ptCount val="1"/>
                <c:pt idx="0">
                  <c:v>Cash flow from operations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'Option 2'!$C$37:$H$37</c:f>
              <c:strCache>
                <c:ptCount val="6"/>
                <c:pt idx="0">
                  <c:v> Entry 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'Option 2'!$C$112:$H$112</c:f>
              <c:numCache>
                <c:formatCode>"$"#,##0_);\("$"#,##0\)</c:formatCode>
                <c:ptCount val="6"/>
                <c:pt idx="0">
                  <c:v>0</c:v>
                </c:pt>
                <c:pt idx="1">
                  <c:v>37597.315068493153</c:v>
                </c:pt>
                <c:pt idx="2">
                  <c:v>52508.663013698635</c:v>
                </c:pt>
                <c:pt idx="3">
                  <c:v>67324.966027397255</c:v>
                </c:pt>
                <c:pt idx="4">
                  <c:v>94783.208054794522</c:v>
                </c:pt>
                <c:pt idx="5">
                  <c:v>128857.16779726028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4F-4D4E-9C21-3EECE3CFCEB9}"/>
            </c:ext>
          </c:extLst>
        </c:ser>
        <c:ser>
          <c:idx val="2"/>
          <c:order val="1"/>
          <c:tx>
            <c:strRef>
              <c:f>'Option 2'!$B$113</c:f>
              <c:strCache>
                <c:ptCount val="1"/>
                <c:pt idx="0">
                  <c:v>Cash flow from investments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3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'Option 2'!$C$37:$H$37</c:f>
              <c:strCache>
                <c:ptCount val="6"/>
                <c:pt idx="0">
                  <c:v> Entry 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'Option 2'!$C$113:$H$113</c:f>
              <c:numCache>
                <c:formatCode>"$"#,##0_);\("$"#,##0\)</c:formatCode>
                <c:ptCount val="6"/>
                <c:pt idx="0">
                  <c:v>-162000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4F-4D4E-9C21-3EECE3CFCEB9}"/>
            </c:ext>
          </c:extLst>
        </c:ser>
        <c:ser>
          <c:idx val="3"/>
          <c:order val="2"/>
          <c:tx>
            <c:strRef>
              <c:f>'Option 2'!$B$114</c:f>
              <c:strCache>
                <c:ptCount val="1"/>
                <c:pt idx="0">
                  <c:v>Cash flow from financing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5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'Option 2'!$C$37:$H$37</c:f>
              <c:strCache>
                <c:ptCount val="6"/>
                <c:pt idx="0">
                  <c:v> Entry 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'Option 2'!$C$114:$H$114</c:f>
              <c:numCache>
                <c:formatCode>"$"#,##0_);\("$"#,##0\)</c:formatCode>
                <c:ptCount val="6"/>
                <c:pt idx="0">
                  <c:v>0</c:v>
                </c:pt>
                <c:pt idx="1">
                  <c:v>-32400</c:v>
                </c:pt>
                <c:pt idx="2">
                  <c:v>-32400</c:v>
                </c:pt>
                <c:pt idx="3">
                  <c:v>-32400</c:v>
                </c:pt>
                <c:pt idx="4">
                  <c:v>-32400</c:v>
                </c:pt>
                <c:pt idx="5">
                  <c:v>-32400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4F-4D4E-9C21-3EECE3CFC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631359696"/>
        <c:axId val="631721744"/>
      </c:barChart>
      <c:catAx>
        <c:axId val="631359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721744"/>
        <c:crosses val="autoZero"/>
        <c:auto val="1"/>
        <c:lblAlgn val="ctr"/>
        <c:lblOffset val="100"/>
        <c:noMultiLvlLbl val="0"/>
      </c:catAx>
      <c:valAx>
        <c:axId val="631721744"/>
        <c:scaling>
          <c:orientation val="minMax"/>
        </c:scaling>
        <c:delete val="0"/>
        <c:axPos val="l"/>
        <c:numFmt formatCode="&quot;$&quot;#,##0_);\(&quot;$&quot;#,##0\)" sourceLinked="1"/>
        <c:majorTickMark val="none"/>
        <c:minorTickMark val="none"/>
        <c:tickLblPos val="nextTo"/>
        <c:spPr>
          <a:noFill/>
          <a:ln>
            <a:solidFill>
              <a:schemeClr val="bg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359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bg1"/>
                </a:solidFill>
              </a:rPr>
              <a:t>Cash flows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'Option 3'!$B$112</c:f>
              <c:strCache>
                <c:ptCount val="1"/>
                <c:pt idx="0">
                  <c:v>Cash flow from operations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'Option 3'!$C$37:$H$37</c:f>
              <c:strCache>
                <c:ptCount val="6"/>
                <c:pt idx="0">
                  <c:v> Entry 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'Option 3'!$C$112:$H$112</c:f>
              <c:numCache>
                <c:formatCode>"$"#,##0_);\("$"#,##0\)</c:formatCode>
                <c:ptCount val="6"/>
                <c:pt idx="0">
                  <c:v>0</c:v>
                </c:pt>
                <c:pt idx="1">
                  <c:v>54144.821917808222</c:v>
                </c:pt>
                <c:pt idx="2">
                  <c:v>74454.263013698626</c:v>
                </c:pt>
                <c:pt idx="3">
                  <c:v>102411.57205479451</c:v>
                </c:pt>
                <c:pt idx="4">
                  <c:v>160805.90745205479</c:v>
                </c:pt>
                <c:pt idx="5">
                  <c:v>203569.29259726027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3B-E542-BB63-33CBB80CD47F}"/>
            </c:ext>
          </c:extLst>
        </c:ser>
        <c:ser>
          <c:idx val="2"/>
          <c:order val="1"/>
          <c:tx>
            <c:strRef>
              <c:f>'Option 3'!$B$113</c:f>
              <c:strCache>
                <c:ptCount val="1"/>
                <c:pt idx="0">
                  <c:v>Cash flow from investments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3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'Option 3'!$C$37:$H$37</c:f>
              <c:strCache>
                <c:ptCount val="6"/>
                <c:pt idx="0">
                  <c:v> Entry 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'Option 3'!$C$113:$H$113</c:f>
              <c:numCache>
                <c:formatCode>"$"#,##0_);\("$"#,##0\)</c:formatCode>
                <c:ptCount val="6"/>
                <c:pt idx="0">
                  <c:v>-306000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3B-E542-BB63-33CBB80CD47F}"/>
            </c:ext>
          </c:extLst>
        </c:ser>
        <c:ser>
          <c:idx val="3"/>
          <c:order val="2"/>
          <c:tx>
            <c:strRef>
              <c:f>'Option 3'!$B$114</c:f>
              <c:strCache>
                <c:ptCount val="1"/>
                <c:pt idx="0">
                  <c:v>Cash flow from financing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5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'Option 3'!$C$37:$H$37</c:f>
              <c:strCache>
                <c:ptCount val="6"/>
                <c:pt idx="0">
                  <c:v> Entry 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'Option 3'!$C$114:$H$114</c:f>
              <c:numCache>
                <c:formatCode>"$"#,##0_);\("$"#,##0\)</c:formatCode>
                <c:ptCount val="6"/>
                <c:pt idx="0">
                  <c:v>0</c:v>
                </c:pt>
                <c:pt idx="1">
                  <c:v>-61200</c:v>
                </c:pt>
                <c:pt idx="2">
                  <c:v>-61200</c:v>
                </c:pt>
                <c:pt idx="3">
                  <c:v>-61200</c:v>
                </c:pt>
                <c:pt idx="4">
                  <c:v>-61200</c:v>
                </c:pt>
                <c:pt idx="5">
                  <c:v>-61200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3B-E542-BB63-33CBB80CD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631359696"/>
        <c:axId val="631721744"/>
      </c:barChart>
      <c:catAx>
        <c:axId val="631359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721744"/>
        <c:crosses val="autoZero"/>
        <c:auto val="1"/>
        <c:lblAlgn val="ctr"/>
        <c:lblOffset val="100"/>
        <c:noMultiLvlLbl val="0"/>
      </c:catAx>
      <c:valAx>
        <c:axId val="631721744"/>
        <c:scaling>
          <c:orientation val="minMax"/>
        </c:scaling>
        <c:delete val="0"/>
        <c:axPos val="l"/>
        <c:numFmt formatCode="&quot;$&quot;#,##0_);\(&quot;$&quot;#,##0\)" sourceLinked="1"/>
        <c:majorTickMark val="none"/>
        <c:minorTickMark val="none"/>
        <c:tickLblPos val="nextTo"/>
        <c:spPr>
          <a:noFill/>
          <a:ln>
            <a:solidFill>
              <a:schemeClr val="bg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359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457200</xdr:colOff>
      <xdr:row>10</xdr:row>
      <xdr:rowOff>190500</xdr:rowOff>
    </xdr:from>
    <xdr:to>
      <xdr:col>3</xdr:col>
      <xdr:colOff>438150</xdr:colOff>
      <xdr:row>19</xdr:row>
      <xdr:rowOff>304800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D4F3A39-BF6A-C94E-9B9A-981AA00CEA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971550</xdr:colOff>
      <xdr:row>10</xdr:row>
      <xdr:rowOff>171450</xdr:rowOff>
    </xdr:from>
    <xdr:to>
      <xdr:col>5</xdr:col>
      <xdr:colOff>1790700</xdr:colOff>
      <xdr:row>19</xdr:row>
      <xdr:rowOff>285750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D40AED9-7638-CD48-8FDC-AA5C09B625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381001</xdr:colOff>
      <xdr:row>10</xdr:row>
      <xdr:rowOff>171450</xdr:rowOff>
    </xdr:from>
    <xdr:to>
      <xdr:col>7</xdr:col>
      <xdr:colOff>4088781</xdr:colOff>
      <xdr:row>19</xdr:row>
      <xdr:rowOff>304800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0C24C43-0F37-0240-8DE0-3A7B3C7A71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21827</xdr:colOff>
      <xdr:row>117</xdr:row>
      <xdr:rowOff>248048</xdr:rowOff>
    </xdr:from>
    <xdr:to>
      <xdr:col>7</xdr:col>
      <xdr:colOff>1828800</xdr:colOff>
      <xdr:row>138</xdr:row>
      <xdr:rowOff>67734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3428AA-90A6-5D49-AB33-795E0782DE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21827</xdr:colOff>
      <xdr:row>117</xdr:row>
      <xdr:rowOff>248048</xdr:rowOff>
    </xdr:from>
    <xdr:to>
      <xdr:col>7</xdr:col>
      <xdr:colOff>1828800</xdr:colOff>
      <xdr:row>138</xdr:row>
      <xdr:rowOff>67734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AB026F-3134-8A42-BD2A-3C388167F8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21827</xdr:colOff>
      <xdr:row>117</xdr:row>
      <xdr:rowOff>248048</xdr:rowOff>
    </xdr:from>
    <xdr:to>
      <xdr:col>7</xdr:col>
      <xdr:colOff>1828800</xdr:colOff>
      <xdr:row>138</xdr:row>
      <xdr:rowOff>67734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8215D9-24EE-B04D-B58E-875A5036AD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lideworks">
  <a:themeElements>
    <a:clrScheme name="Slideworks">
      <a:dk1>
        <a:srgbClr val="FFFFFF"/>
      </a:dk1>
      <a:lt1>
        <a:srgbClr val="061F32"/>
      </a:lt1>
      <a:dk2>
        <a:srgbClr val="000000"/>
      </a:dk2>
      <a:lt2>
        <a:srgbClr val="000000"/>
      </a:lt2>
      <a:accent1>
        <a:srgbClr val="22A3DF"/>
      </a:accent1>
      <a:accent2>
        <a:srgbClr val="3478AB"/>
      </a:accent2>
      <a:accent3>
        <a:srgbClr val="1D4769"/>
      </a:accent3>
      <a:accent4>
        <a:srgbClr val="061F32"/>
      </a:accent4>
      <a:accent5>
        <a:srgbClr val="2222F6"/>
      </a:accent5>
      <a:accent6>
        <a:srgbClr val="F8BC3B"/>
      </a:accent6>
      <a:hlink>
        <a:srgbClr val="3478AB"/>
      </a:hlink>
      <a:folHlink>
        <a:srgbClr val="8B78AB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Subtle Solids">
      <a:fillStyleLst>
        <a:solidFill>
          <a:schemeClr val="phClr"/>
        </a:solidFill>
        <a:solidFill>
          <a:schemeClr val="phClr">
            <a:tint val="65000"/>
          </a:schemeClr>
        </a:solidFill>
        <a:solidFill>
          <a:schemeClr val="phClr">
            <a:shade val="80000"/>
            <a:satMod val="15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0795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50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1"/>
        </a:solidFill>
        <a:ln w="6350" cap="sq">
          <a:noFill/>
          <a:miter lim="800000"/>
        </a:ln>
      </a:spPr>
      <a:bodyPr rot="0" spcFirstLastPara="0" vertOverflow="overflow" horzOverflow="overflow" vert="horz" wrap="square" lIns="91440" tIns="45720" rIns="91440" bIns="45720" numCol="1" spcCol="0" rtlCol="0" fromWordArt="0" anchor="ctr" anchorCtr="0" forceAA="0" compatLnSpc="1">
        <a:prstTxWarp prst="textNoShape">
          <a:avLst/>
        </a:prstTxWarp>
        <a:noAutofit/>
      </a:bodyPr>
      <a:lstStyle>
        <a:defPPr algn="ctr">
          <a:spcBef>
            <a:spcPts val="300"/>
          </a:spcBef>
          <a:spcAft>
            <a:spcPts val="300"/>
          </a:spcAft>
          <a:defRPr sz="1600" dirty="0" err="1">
            <a:solidFill>
              <a:schemeClr val="bg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6350" cap="sq">
          <a:solidFill>
            <a:srgbClr val="000000"/>
          </a:solidFill>
          <a:miter lim="800000"/>
          <a:tailEnd type="none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ln w="6350">
          <a:noFill/>
          <a:miter lim="800000"/>
        </a:ln>
      </a:spPr>
      <a:bodyPr vert="horz" wrap="square" lIns="0" tIns="0" rIns="0" bIns="0" rtlCol="0">
        <a:noAutofit/>
      </a:bodyPr>
      <a:lstStyle>
        <a:defPPr algn="l">
          <a:spcBef>
            <a:spcPts val="300"/>
          </a:spcBef>
          <a:spcAft>
            <a:spcPts val="300"/>
          </a:spcAft>
          <a:buNone/>
          <a:defRPr sz="1600" dirty="0" smtClean="0"/>
        </a:defPPr>
      </a:lstStyle>
    </a:txDef>
  </a:objectDefaults>
  <a:extraClrSchemeLst>
    <a:extraClrScheme>
      <a:clrScheme name="Scheme White">
        <a:dk1>
          <a:srgbClr val="000000"/>
        </a:dk1>
        <a:lt1>
          <a:srgbClr val="FFFFFF"/>
        </a:lt1>
        <a:dk2>
          <a:srgbClr val="FFFFFF"/>
        </a:dk2>
        <a:lt2>
          <a:srgbClr val="FFFFFF"/>
        </a:lt2>
        <a:accent1>
          <a:srgbClr val="051C2C"/>
        </a:accent1>
        <a:accent2>
          <a:srgbClr val="00A9F4"/>
        </a:accent2>
        <a:accent3>
          <a:srgbClr val="1F40E6"/>
        </a:accent3>
        <a:accent4>
          <a:srgbClr val="AAE6F0"/>
        </a:accent4>
        <a:accent5>
          <a:srgbClr val="3C96B4"/>
        </a:accent5>
        <a:accent6>
          <a:srgbClr val="AFC3FF"/>
        </a:accent6>
        <a:hlink>
          <a:srgbClr val="1F40E6"/>
        </a:hlink>
        <a:folHlink>
          <a:srgbClr val="8C5AC8"/>
        </a:folHlink>
      </a:clrScheme>
    </a:extraClrScheme>
  </a:extraClrSchemeLst>
  <a:custClrLst>
    <a:custClr name="Deep Blue">
      <a:srgbClr val="051C2C"/>
    </a:custClr>
    <a:custClr name="Cyan">
      <a:srgbClr val="00A9F4"/>
    </a:custClr>
    <a:custClr name="Electric Blue">
      <a:srgbClr val="1F40E6"/>
    </a:custClr>
    <a:custClr name="Pale Blue">
      <a:srgbClr val="AAE6F0"/>
    </a:custClr>
    <a:custClr name="Turquoise">
      <a:srgbClr val="3C96B4"/>
    </a:custClr>
    <a:custClr name="Pale Electric Blue">
      <a:srgbClr val="AFC3FF"/>
    </a:custClr>
    <a:custClr name="Purple">
      <a:srgbClr val="8C5AC8"/>
    </a:custClr>
    <a:custClr name="Pink">
      <a:srgbClr val="E6A0C8"/>
    </a:custClr>
    <a:custClr name="Red">
      <a:srgbClr val="E5546C"/>
    </a:custClr>
    <a:custClr name="Orange">
      <a:srgbClr val="FAA082"/>
    </a:custClr>
    <a:custClr name="Dark Gray">
      <a:srgbClr val="4D4D4D"/>
    </a:custClr>
    <a:custClr name="Mid Gray">
      <a:srgbClr val="7F7F7F"/>
    </a:custClr>
    <a:custClr name="Light Gray">
      <a:srgbClr val="B3B3B3"/>
    </a:custClr>
    <a:custClr name="Super Light Gray">
      <a:srgbClr val="D0D0D0"/>
    </a:custClr>
    <a:custClr name="Pale Gray">
      <a:srgbClr val="E6E6E6"/>
    </a:custClr>
    <a:custClr name="Null">
      <a:srgbClr val="FFFFFF"/>
    </a:custClr>
    <a:custClr name="Null">
      <a:srgbClr val="FFFFFF"/>
    </a:custClr>
    <a:custClr name="Null">
      <a:srgbClr val="FFFFFF"/>
    </a:custClr>
    <a:custClr name="Null">
      <a:srgbClr val="FFFFFF"/>
    </a:custClr>
    <a:custClr name="Null">
      <a:srgbClr val="FFFFFF"/>
    </a:custClr>
    <a:custClr name="Linear 1 (Deep Blue)">
      <a:srgbClr val="051C2C"/>
    </a:custClr>
    <a:custClr name="Linear 2">
      <a:srgbClr val="034B6F"/>
    </a:custClr>
    <a:custClr name="Linear 3">
      <a:srgbClr val="027AB1"/>
    </a:custClr>
    <a:custClr name="Linear 4 (Cyan)">
      <a:srgbClr val="00A9F4"/>
    </a:custClr>
    <a:custClr name="Linear 5">
      <a:srgbClr val="39BDF3"/>
    </a:custClr>
    <a:custClr name="Linear 6">
      <a:srgbClr val="71D2F1"/>
    </a:custClr>
    <a:custClr name="Linear 7 (Pale Blue)">
      <a:srgbClr val="AAE6F0"/>
    </a:custClr>
    <a:custClr name="Null">
      <a:srgbClr val="FFFFFF"/>
    </a:custClr>
    <a:custClr name="Null">
      <a:srgbClr val="FFFFFF"/>
    </a:custClr>
    <a:custClr name="Null">
      <a:srgbClr val="FFFFFF"/>
    </a:custClr>
  </a:custClrLst>
  <a:extLst>
    <a:ext uri="{05A4C25C-085E-4340-85A3-A5531E510DB2}">
      <thm15:themeFamily xmlns:thm15="http://schemas.microsoft.com/office/thememl/2012/main" name="Slideworks" id="{E069DF23-800B-2147-8703-57BAD797A89F}" vid="{C4B098EE-F2FB-4F45-9BF5-C6412EFF7DD9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E4079-4FBB-0144-9E2B-BA928AF90ABC}">
  <sheetPr>
    <tabColor theme="9" tint="0.79998168889431442"/>
  </sheetPr>
  <dimension ref="B1:E16"/>
  <sheetViews>
    <sheetView showGridLines="0" workbookViewId="0">
      <selection activeCell="B4" sqref="B4"/>
    </sheetView>
  </sheetViews>
  <sheetFormatPr baseColWidth="10" defaultRowHeight="16" x14ac:dyDescent="0.2"/>
  <cols>
    <col min="1" max="1" width="3" style="34" customWidth="1"/>
    <col min="2" max="2" width="40.7109375" style="33" customWidth="1"/>
    <col min="3" max="5" width="40.7109375" style="34" customWidth="1"/>
    <col min="6" max="7" width="84.5703125" style="34" customWidth="1"/>
    <col min="8" max="16384" width="10.7109375" style="34"/>
  </cols>
  <sheetData>
    <row r="1" spans="2:5" ht="17" thickBot="1" x14ac:dyDescent="0.25"/>
    <row r="2" spans="2:5" ht="22" customHeight="1" x14ac:dyDescent="0.2">
      <c r="B2" s="35" t="s">
        <v>40</v>
      </c>
      <c r="C2" s="36"/>
      <c r="D2" s="36"/>
      <c r="E2" s="37"/>
    </row>
    <row r="3" spans="2:5" ht="119" customHeight="1" thickBot="1" x14ac:dyDescent="0.25">
      <c r="B3" s="140" t="s">
        <v>166</v>
      </c>
      <c r="C3" s="141"/>
      <c r="D3" s="141"/>
      <c r="E3" s="142"/>
    </row>
    <row r="4" spans="2:5" x14ac:dyDescent="0.2">
      <c r="B4" s="38"/>
    </row>
    <row r="5" spans="2:5" x14ac:dyDescent="0.2">
      <c r="B5" s="39" t="s">
        <v>41</v>
      </c>
      <c r="C5" s="39"/>
      <c r="D5" s="40"/>
      <c r="E5" s="40"/>
    </row>
    <row r="6" spans="2:5" ht="17" x14ac:dyDescent="0.2">
      <c r="B6" s="41" t="s">
        <v>42</v>
      </c>
      <c r="C6" s="42" t="s">
        <v>43</v>
      </c>
      <c r="D6" s="42" t="s">
        <v>44</v>
      </c>
      <c r="E6" s="42" t="s">
        <v>45</v>
      </c>
    </row>
    <row r="7" spans="2:5" ht="50" customHeight="1" x14ac:dyDescent="0.2">
      <c r="B7" s="43" t="s">
        <v>46</v>
      </c>
      <c r="C7" s="44" t="s">
        <v>47</v>
      </c>
      <c r="D7" s="44" t="s">
        <v>48</v>
      </c>
      <c r="E7" s="44" t="s">
        <v>49</v>
      </c>
    </row>
    <row r="8" spans="2:5" ht="50" customHeight="1" x14ac:dyDescent="0.2">
      <c r="B8" s="43" t="s">
        <v>50</v>
      </c>
      <c r="C8" s="44" t="s">
        <v>51</v>
      </c>
      <c r="D8" s="44" t="s">
        <v>52</v>
      </c>
      <c r="E8" s="44" t="s">
        <v>53</v>
      </c>
    </row>
    <row r="9" spans="2:5" ht="50" customHeight="1" x14ac:dyDescent="0.2">
      <c r="B9" s="43" t="s">
        <v>54</v>
      </c>
      <c r="C9" s="44" t="s">
        <v>55</v>
      </c>
      <c r="D9" s="44" t="s">
        <v>56</v>
      </c>
      <c r="E9" s="44" t="s">
        <v>53</v>
      </c>
    </row>
    <row r="10" spans="2:5" ht="50" customHeight="1" x14ac:dyDescent="0.2">
      <c r="B10" s="43" t="s">
        <v>57</v>
      </c>
      <c r="C10" s="44" t="s">
        <v>58</v>
      </c>
      <c r="D10" s="44" t="s">
        <v>59</v>
      </c>
      <c r="E10" s="44" t="s">
        <v>60</v>
      </c>
    </row>
    <row r="11" spans="2:5" ht="50" customHeight="1" x14ac:dyDescent="0.2">
      <c r="B11" s="43" t="s">
        <v>61</v>
      </c>
      <c r="C11" s="44" t="s">
        <v>62</v>
      </c>
      <c r="D11" s="44" t="s">
        <v>52</v>
      </c>
      <c r="E11" s="44" t="s">
        <v>63</v>
      </c>
    </row>
    <row r="12" spans="2:5" x14ac:dyDescent="0.2">
      <c r="B12" s="38"/>
    </row>
    <row r="13" spans="2:5" ht="17" x14ac:dyDescent="0.2">
      <c r="B13" s="45" t="s">
        <v>64</v>
      </c>
    </row>
    <row r="14" spans="2:5" x14ac:dyDescent="0.2">
      <c r="B14" s="46"/>
    </row>
    <row r="15" spans="2:5" ht="17" x14ac:dyDescent="0.2">
      <c r="B15" s="47" t="s">
        <v>65</v>
      </c>
    </row>
    <row r="16" spans="2:5" ht="17" x14ac:dyDescent="0.2">
      <c r="B16" s="48" t="s">
        <v>66</v>
      </c>
    </row>
  </sheetData>
  <mergeCells count="1">
    <mergeCell ref="B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52A8D-F03D-3142-B8F3-7B98E70F613E}">
  <dimension ref="B2:C24"/>
  <sheetViews>
    <sheetView showGridLines="0" workbookViewId="0">
      <selection activeCell="D20" sqref="D20"/>
    </sheetView>
  </sheetViews>
  <sheetFormatPr baseColWidth="10" defaultRowHeight="16" x14ac:dyDescent="0.2"/>
  <cols>
    <col min="1" max="1" width="4" customWidth="1"/>
    <col min="2" max="3" width="40.7109375" customWidth="1"/>
  </cols>
  <sheetData>
    <row r="2" spans="2:3" x14ac:dyDescent="0.2">
      <c r="B2" s="143" t="s">
        <v>19</v>
      </c>
      <c r="C2" s="144"/>
    </row>
    <row r="3" spans="2:3" x14ac:dyDescent="0.2">
      <c r="B3" s="1"/>
      <c r="C3" s="1"/>
    </row>
    <row r="4" spans="2:3" x14ac:dyDescent="0.2">
      <c r="B4" s="145" t="s">
        <v>17</v>
      </c>
      <c r="C4" s="146"/>
    </row>
    <row r="5" spans="2:3" x14ac:dyDescent="0.2">
      <c r="B5" s="147"/>
      <c r="C5" s="148"/>
    </row>
    <row r="6" spans="2:3" x14ac:dyDescent="0.2">
      <c r="B6" s="147"/>
      <c r="C6" s="148"/>
    </row>
    <row r="7" spans="2:3" x14ac:dyDescent="0.2">
      <c r="B7" s="147"/>
      <c r="C7" s="148"/>
    </row>
    <row r="8" spans="2:3" x14ac:dyDescent="0.2">
      <c r="B8" s="147"/>
      <c r="C8" s="148"/>
    </row>
    <row r="9" spans="2:3" x14ac:dyDescent="0.2">
      <c r="B9" s="147"/>
      <c r="C9" s="148"/>
    </row>
    <row r="10" spans="2:3" x14ac:dyDescent="0.2">
      <c r="B10" s="147"/>
      <c r="C10" s="148"/>
    </row>
    <row r="11" spans="2:3" x14ac:dyDescent="0.2">
      <c r="B11" s="147"/>
      <c r="C11" s="148"/>
    </row>
    <row r="12" spans="2:3" x14ac:dyDescent="0.2">
      <c r="B12" s="147"/>
      <c r="C12" s="148"/>
    </row>
    <row r="13" spans="2:3" x14ac:dyDescent="0.2">
      <c r="B13" s="149"/>
      <c r="C13" s="150"/>
    </row>
    <row r="14" spans="2:3" x14ac:dyDescent="0.2">
      <c r="B14" s="1"/>
      <c r="C14" s="1"/>
    </row>
    <row r="15" spans="2:3" x14ac:dyDescent="0.2">
      <c r="B15" s="143" t="s">
        <v>20</v>
      </c>
      <c r="C15" s="144"/>
    </row>
    <row r="16" spans="2:3" x14ac:dyDescent="0.2">
      <c r="B16" s="1"/>
      <c r="C16" s="1"/>
    </row>
    <row r="17" spans="2:3" ht="30" customHeight="1" x14ac:dyDescent="0.2">
      <c r="B17" s="2" t="s">
        <v>21</v>
      </c>
      <c r="C17" s="3" t="s">
        <v>22</v>
      </c>
    </row>
    <row r="18" spans="2:3" ht="30" customHeight="1" x14ac:dyDescent="0.2">
      <c r="B18" s="2" t="s">
        <v>23</v>
      </c>
      <c r="C18" s="3" t="s">
        <v>24</v>
      </c>
    </row>
    <row r="19" spans="2:3" ht="30" customHeight="1" x14ac:dyDescent="0.2">
      <c r="B19" s="2" t="s">
        <v>25</v>
      </c>
      <c r="C19" s="4" t="s">
        <v>26</v>
      </c>
    </row>
    <row r="20" spans="2:3" ht="30" customHeight="1" x14ac:dyDescent="0.2">
      <c r="B20" s="2" t="s">
        <v>27</v>
      </c>
      <c r="C20" s="5">
        <v>1</v>
      </c>
    </row>
    <row r="21" spans="2:3" ht="30" customHeight="1" x14ac:dyDescent="0.2">
      <c r="B21" s="2" t="s">
        <v>28</v>
      </c>
      <c r="C21" s="6" t="s">
        <v>29</v>
      </c>
    </row>
    <row r="22" spans="2:3" ht="30" customHeight="1" x14ac:dyDescent="0.2">
      <c r="B22" s="7" t="s">
        <v>30</v>
      </c>
      <c r="C22" s="8" t="s">
        <v>31</v>
      </c>
    </row>
    <row r="23" spans="2:3" ht="30" customHeight="1" x14ac:dyDescent="0.2">
      <c r="B23" s="7" t="s">
        <v>32</v>
      </c>
      <c r="C23" s="8" t="s">
        <v>31</v>
      </c>
    </row>
    <row r="24" spans="2:3" ht="30" customHeight="1" x14ac:dyDescent="0.2">
      <c r="B24" s="9" t="s">
        <v>33</v>
      </c>
      <c r="C24" s="8" t="s">
        <v>31</v>
      </c>
    </row>
  </sheetData>
  <mergeCells count="3">
    <mergeCell ref="B2:C2"/>
    <mergeCell ref="B4:C13"/>
    <mergeCell ref="B15:C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30FC7-E593-AC47-AD99-BEE43449642B}">
  <sheetPr>
    <tabColor theme="0"/>
    <pageSetUpPr fitToPage="1"/>
  </sheetPr>
  <dimension ref="B1:T36"/>
  <sheetViews>
    <sheetView tabSelected="1" zoomScale="50" zoomScaleNormal="80" workbookViewId="0">
      <selection activeCell="I19" sqref="I19"/>
    </sheetView>
  </sheetViews>
  <sheetFormatPr baseColWidth="10" defaultColWidth="9.42578125" defaultRowHeight="13" x14ac:dyDescent="0.15"/>
  <cols>
    <col min="1" max="1" width="4.7109375" style="18" customWidth="1"/>
    <col min="2" max="2" width="36.7109375" style="18" customWidth="1"/>
    <col min="3" max="7" width="26.28515625" style="18" customWidth="1"/>
    <col min="8" max="8" width="46.85546875" style="18" customWidth="1"/>
    <col min="9" max="9" width="26.28515625" style="18" customWidth="1"/>
    <col min="10" max="16384" width="9.42578125" style="18"/>
  </cols>
  <sheetData>
    <row r="1" spans="2:20" s="10" customFormat="1" ht="31.5" customHeight="1" x14ac:dyDescent="0.15">
      <c r="B1" s="16"/>
    </row>
    <row r="2" spans="2:20" ht="78.75" customHeight="1" x14ac:dyDescent="0.15">
      <c r="B2" s="17" t="s">
        <v>157</v>
      </c>
      <c r="E2" s="19"/>
      <c r="F2" s="19"/>
      <c r="G2" s="19"/>
      <c r="H2" s="19"/>
      <c r="I2" s="19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spans="2:20" s="29" customFormat="1" ht="25" customHeight="1" x14ac:dyDescent="0.15">
      <c r="B3" s="28" t="s">
        <v>158</v>
      </c>
      <c r="C3" s="28"/>
      <c r="D3" s="28"/>
      <c r="E3" s="28"/>
      <c r="F3" s="28"/>
      <c r="G3" s="28"/>
      <c r="H3" s="28"/>
      <c r="I3" s="28"/>
    </row>
    <row r="4" spans="2:20" s="122" customFormat="1" ht="25" customHeight="1" x14ac:dyDescent="0.15">
      <c r="B4" s="57"/>
      <c r="C4" s="57"/>
      <c r="D4" s="57"/>
      <c r="E4" s="57"/>
      <c r="F4" s="57"/>
      <c r="G4" s="57"/>
      <c r="H4" s="57"/>
      <c r="I4" s="57"/>
    </row>
    <row r="5" spans="2:20" ht="44.25" customHeight="1" x14ac:dyDescent="0.15">
      <c r="B5" s="152"/>
      <c r="C5" s="153" t="s">
        <v>155</v>
      </c>
      <c r="D5" s="153" t="s">
        <v>57</v>
      </c>
      <c r="E5" s="153" t="s">
        <v>61</v>
      </c>
      <c r="F5" s="154" t="s">
        <v>156</v>
      </c>
      <c r="G5" s="154" t="s">
        <v>50</v>
      </c>
      <c r="H5" s="155" t="s">
        <v>18</v>
      </c>
      <c r="I5" s="21"/>
    </row>
    <row r="6" spans="2:20" ht="30" customHeight="1" x14ac:dyDescent="0.15">
      <c r="B6" s="169" t="str">
        <f>'Option 1'!C$4</f>
        <v>[Insert name of option e.g., Do minimum]</v>
      </c>
      <c r="C6" s="156">
        <f>-SUM('Option 1'!C$101:H$101)</f>
        <v>162000</v>
      </c>
      <c r="D6" s="157">
        <f>'Option 1'!C$148</f>
        <v>1218881.974742915</v>
      </c>
      <c r="E6" s="13">
        <f>'Option 1'!C$150</f>
        <v>0.63730727081449978</v>
      </c>
      <c r="F6" s="14" t="str">
        <f>'Option 1'!C$152</f>
        <v>4.32 years</v>
      </c>
      <c r="G6" s="13">
        <f>'Option 1'!C$154</f>
        <v>6.5239628070550308</v>
      </c>
      <c r="H6" s="158" t="str">
        <f>'Option 1'!C$5</f>
        <v>[Insert brief description of scenario]</v>
      </c>
      <c r="I6" s="21"/>
    </row>
    <row r="7" spans="2:20" ht="30" customHeight="1" x14ac:dyDescent="0.15">
      <c r="B7" s="169" t="str">
        <f>'Option 2'!C$4</f>
        <v>[Insert name of option e.g., Focus on new revenue]</v>
      </c>
      <c r="C7" s="156">
        <f>-SUM('Option 2'!C$101:H$101)</f>
        <v>162000</v>
      </c>
      <c r="D7" s="157">
        <f>'Option 2'!C$148</f>
        <v>1131482.7766345798</v>
      </c>
      <c r="E7" s="13">
        <f>'Option 2'!C$150</f>
        <v>0.59458994416848232</v>
      </c>
      <c r="F7" s="14" t="str">
        <f>'Option 2'!C$152</f>
        <v>5.99 years</v>
      </c>
      <c r="G7" s="13">
        <f>'Option 2'!C$154</f>
        <v>5.9844615841640723</v>
      </c>
      <c r="H7" s="158" t="str">
        <f>'Option 1'!C$5</f>
        <v>[Insert brief description of scenario]</v>
      </c>
      <c r="I7" s="21"/>
    </row>
    <row r="8" spans="2:20" ht="30" customHeight="1" x14ac:dyDescent="0.15">
      <c r="B8" s="170" t="str">
        <f>'Option 3'!C$4</f>
        <v>[Insert name of option e.g., High growth]</v>
      </c>
      <c r="C8" s="106">
        <f>-SUM('Option 3'!C$101:H$101)</f>
        <v>306000</v>
      </c>
      <c r="D8" s="159">
        <f>'Option 3'!C$148</f>
        <v>1573574.1430560807</v>
      </c>
      <c r="E8" s="160">
        <f>'Option 3'!C$150</f>
        <v>0.50706001070183349</v>
      </c>
      <c r="F8" s="161" t="str">
        <f>'Option 3'!C$152</f>
        <v>5.93 years</v>
      </c>
      <c r="G8" s="160">
        <f>'Option 3'!C$154</f>
        <v>4.1423991603139889</v>
      </c>
      <c r="H8" s="162" t="str">
        <f>'Option 1'!C$5</f>
        <v>[Insert brief description of scenario]</v>
      </c>
      <c r="I8" s="21"/>
    </row>
    <row r="9" spans="2:20" ht="30" customHeight="1" x14ac:dyDescent="0.15">
      <c r="B9" s="20"/>
      <c r="C9" s="23"/>
      <c r="D9" s="22"/>
      <c r="E9" s="22"/>
      <c r="F9" s="13"/>
      <c r="G9" s="24"/>
      <c r="H9" s="23"/>
      <c r="I9" s="23"/>
    </row>
    <row r="10" spans="2:20" ht="30" customHeight="1" x14ac:dyDescent="0.2">
      <c r="B10" s="25"/>
      <c r="C10" s="26"/>
      <c r="D10" s="26"/>
      <c r="E10" s="26"/>
      <c r="F10" s="26"/>
      <c r="G10" s="26"/>
      <c r="H10" s="26"/>
      <c r="I10" s="26"/>
    </row>
    <row r="11" spans="2:20" ht="30" customHeight="1" x14ac:dyDescent="0.2">
      <c r="B11" s="25"/>
      <c r="C11" s="26"/>
      <c r="D11" s="26"/>
      <c r="E11" s="26"/>
      <c r="F11" s="26"/>
      <c r="G11" s="26"/>
      <c r="H11" s="26"/>
      <c r="I11" s="26"/>
    </row>
    <row r="12" spans="2:20" ht="30" customHeight="1" x14ac:dyDescent="0.2">
      <c r="B12" s="25"/>
      <c r="C12" s="26"/>
      <c r="D12" s="26"/>
      <c r="E12" s="26"/>
      <c r="F12" s="26"/>
      <c r="G12" s="26"/>
      <c r="H12" s="26"/>
      <c r="I12" s="26"/>
    </row>
    <row r="13" spans="2:20" ht="30" customHeight="1" x14ac:dyDescent="0.2">
      <c r="B13" s="25"/>
      <c r="C13" s="26"/>
      <c r="D13" s="26"/>
      <c r="E13" s="26"/>
      <c r="F13" s="26"/>
      <c r="G13" s="26"/>
      <c r="H13" s="26"/>
      <c r="I13" s="26"/>
    </row>
    <row r="14" spans="2:20" ht="30" customHeight="1" x14ac:dyDescent="0.2">
      <c r="B14" s="25"/>
      <c r="C14" s="26"/>
      <c r="D14" s="26"/>
      <c r="E14" s="26"/>
      <c r="F14" s="26"/>
      <c r="G14" s="26"/>
      <c r="H14" s="26"/>
      <c r="I14" s="26"/>
    </row>
    <row r="15" spans="2:20" ht="30" customHeight="1" x14ac:dyDescent="0.2">
      <c r="B15" s="25"/>
      <c r="C15" s="26"/>
      <c r="D15" s="26"/>
      <c r="E15" s="26"/>
      <c r="F15" s="26"/>
      <c r="G15" s="26"/>
      <c r="H15" s="26"/>
      <c r="I15" s="26"/>
    </row>
    <row r="16" spans="2:20" ht="30" customHeight="1" x14ac:dyDescent="0.2">
      <c r="B16" s="25"/>
      <c r="C16" s="26"/>
      <c r="D16" s="26"/>
      <c r="E16" s="26"/>
      <c r="F16" s="26"/>
      <c r="G16" s="26"/>
      <c r="H16" s="26"/>
      <c r="I16" s="26"/>
    </row>
    <row r="17" spans="2:9" ht="30" customHeight="1" x14ac:dyDescent="0.2">
      <c r="B17" s="25"/>
      <c r="C17" s="26"/>
      <c r="D17" s="26"/>
      <c r="E17" s="26"/>
      <c r="F17" s="26"/>
      <c r="G17" s="26"/>
      <c r="H17" s="26"/>
      <c r="I17" s="26"/>
    </row>
    <row r="18" spans="2:9" ht="30" customHeight="1" x14ac:dyDescent="0.2">
      <c r="B18" s="25"/>
      <c r="C18" s="26"/>
      <c r="D18" s="26"/>
      <c r="E18" s="26"/>
      <c r="F18" s="26"/>
      <c r="G18" s="26"/>
      <c r="H18" s="26"/>
      <c r="I18" s="26"/>
    </row>
    <row r="19" spans="2:9" ht="30" customHeight="1" x14ac:dyDescent="0.2">
      <c r="B19" s="25"/>
      <c r="C19" s="26"/>
      <c r="D19" s="26"/>
      <c r="E19" s="26"/>
      <c r="F19" s="26"/>
      <c r="G19" s="26"/>
      <c r="H19" s="26"/>
      <c r="I19" s="26"/>
    </row>
    <row r="20" spans="2:9" ht="30" customHeight="1" x14ac:dyDescent="0.2">
      <c r="B20" s="25"/>
      <c r="C20" s="26"/>
      <c r="D20" s="26"/>
      <c r="E20" s="26"/>
      <c r="F20" s="26"/>
      <c r="G20" s="26"/>
      <c r="H20" s="26"/>
      <c r="I20" s="26"/>
    </row>
    <row r="21" spans="2:9" ht="30" customHeight="1" x14ac:dyDescent="0.2">
      <c r="B21" s="25"/>
      <c r="C21" s="26"/>
      <c r="D21" s="26"/>
      <c r="E21" s="26"/>
      <c r="F21" s="26"/>
      <c r="G21" s="26"/>
      <c r="H21" s="26"/>
      <c r="I21" s="26"/>
    </row>
    <row r="22" spans="2:9" ht="14.25" customHeight="1" x14ac:dyDescent="0.2">
      <c r="B22" s="26"/>
      <c r="C22" s="26"/>
      <c r="D22" s="26"/>
      <c r="E22" s="26"/>
      <c r="F22" s="26"/>
      <c r="G22" s="26"/>
      <c r="H22" s="26"/>
      <c r="I22" s="26"/>
    </row>
    <row r="23" spans="2:9" ht="25" customHeight="1" x14ac:dyDescent="0.15">
      <c r="B23" s="166" t="s">
        <v>159</v>
      </c>
      <c r="C23" s="171" t="str">
        <f>'Option 1'!C37</f>
        <v>Entry</v>
      </c>
      <c r="D23" s="171" t="str">
        <f>'Option 1'!D37</f>
        <v>Year 1</v>
      </c>
      <c r="E23" s="171" t="str">
        <f>'Option 1'!E37</f>
        <v>Year 2</v>
      </c>
      <c r="F23" s="171" t="str">
        <f>'Option 1'!F37</f>
        <v>Year 3</v>
      </c>
      <c r="G23" s="171" t="str">
        <f>'Option 1'!G37</f>
        <v>Year 4</v>
      </c>
      <c r="H23" s="171" t="str">
        <f>'Option 1'!H37</f>
        <v>Year 5</v>
      </c>
      <c r="I23" s="172" t="str">
        <f>'Option 1'!I37</f>
        <v>Exit</v>
      </c>
    </row>
    <row r="24" spans="2:9" ht="30" customHeight="1" x14ac:dyDescent="0.15">
      <c r="B24" s="167" t="str">
        <f>B6</f>
        <v>[Insert name of option e.g., Do minimum]</v>
      </c>
      <c r="C24" s="121">
        <f>'Option 1'!C$44+'Option 1'!C$49</f>
        <v>0</v>
      </c>
      <c r="D24" s="121">
        <f>'Option 1'!D$44+'Option 1'!D$49</f>
        <v>145000</v>
      </c>
      <c r="E24" s="121">
        <f>'Option 1'!E$44+'Option 1'!E$49</f>
        <v>134000</v>
      </c>
      <c r="F24" s="121">
        <f>'Option 1'!F$44+'Option 1'!F$49</f>
        <v>152000</v>
      </c>
      <c r="G24" s="121">
        <f>'Option 1'!G$44+'Option 1'!G$49</f>
        <v>188000</v>
      </c>
      <c r="H24" s="121">
        <f>'Option 1'!H$44+'Option 1'!H$49</f>
        <v>230000</v>
      </c>
      <c r="I24" s="173"/>
    </row>
    <row r="25" spans="2:9" ht="30" customHeight="1" x14ac:dyDescent="0.15">
      <c r="B25" s="167" t="str">
        <f t="shared" ref="B25:B26" si="0">B7</f>
        <v>[Insert name of option e.g., Focus on new revenue]</v>
      </c>
      <c r="C25" s="121">
        <f>'Option 2'!C$44+'Option 2'!C$49</f>
        <v>0</v>
      </c>
      <c r="D25" s="121">
        <f>'Option 2'!D$44+'Option 2'!D$49</f>
        <v>95000</v>
      </c>
      <c r="E25" s="121">
        <f>'Option 2'!E$44+'Option 2'!E$49</f>
        <v>104000</v>
      </c>
      <c r="F25" s="121">
        <f>'Option 2'!F$44+'Option 2'!F$49</f>
        <v>122000</v>
      </c>
      <c r="G25" s="121">
        <f>'Option 2'!G$44+'Option 2'!G$49</f>
        <v>158000</v>
      </c>
      <c r="H25" s="121">
        <f>'Option 2'!H$44+'Option 2'!H$49</f>
        <v>200000</v>
      </c>
      <c r="I25" s="174"/>
    </row>
    <row r="26" spans="2:9" ht="30" customHeight="1" x14ac:dyDescent="0.15">
      <c r="B26" s="168" t="str">
        <f t="shared" si="0"/>
        <v>[Insert name of option e.g., High growth]</v>
      </c>
      <c r="C26" s="177">
        <f>'Option 3'!C$44+'Option 3'!C$49</f>
        <v>0</v>
      </c>
      <c r="D26" s="177">
        <f>'Option 3'!D$44+'Option 3'!D$49</f>
        <v>265000</v>
      </c>
      <c r="E26" s="177">
        <f>'Option 3'!E$44+'Option 3'!E$49</f>
        <v>254000</v>
      </c>
      <c r="F26" s="177">
        <f>'Option 3'!F$44+'Option 3'!F$49</f>
        <v>290000</v>
      </c>
      <c r="G26" s="177">
        <f>'Option 3'!G$44+'Option 3'!G$49</f>
        <v>368000</v>
      </c>
      <c r="H26" s="177">
        <f>'Option 3'!H$44+'Option 3'!H$49</f>
        <v>410000</v>
      </c>
      <c r="I26" s="175"/>
    </row>
    <row r="27" spans="2:9" ht="30" customHeight="1" x14ac:dyDescent="0.2">
      <c r="B27" s="26"/>
      <c r="C27" s="26"/>
      <c r="D27" s="26"/>
      <c r="E27" s="26"/>
      <c r="F27" s="26"/>
      <c r="G27" s="26"/>
      <c r="H27" s="26"/>
      <c r="I27" s="25"/>
    </row>
    <row r="28" spans="2:9" ht="32" customHeight="1" x14ac:dyDescent="0.15">
      <c r="B28" s="166" t="s">
        <v>160</v>
      </c>
      <c r="C28" s="171" t="str">
        <f>C23</f>
        <v>Entry</v>
      </c>
      <c r="D28" s="171" t="str">
        <f t="shared" ref="D28:I28" si="1">D23</f>
        <v>Year 1</v>
      </c>
      <c r="E28" s="171" t="str">
        <f t="shared" si="1"/>
        <v>Year 2</v>
      </c>
      <c r="F28" s="171" t="str">
        <f t="shared" si="1"/>
        <v>Year 3</v>
      </c>
      <c r="G28" s="171" t="str">
        <f t="shared" si="1"/>
        <v>Year 4</v>
      </c>
      <c r="H28" s="171" t="str">
        <f t="shared" si="1"/>
        <v>Year 5</v>
      </c>
      <c r="I28" s="172" t="str">
        <f t="shared" si="1"/>
        <v>Exit</v>
      </c>
    </row>
    <row r="29" spans="2:9" ht="30" customHeight="1" x14ac:dyDescent="0.15">
      <c r="B29" s="167" t="str">
        <f>B6</f>
        <v>[Insert name of option e.g., Do minimum]</v>
      </c>
      <c r="C29" s="121">
        <f>'Option 1'!C$72</f>
        <v>0</v>
      </c>
      <c r="D29" s="121">
        <f>'Option 1'!D$72</f>
        <v>95000</v>
      </c>
      <c r="E29" s="121">
        <f>'Option 1'!E$72</f>
        <v>84000</v>
      </c>
      <c r="F29" s="121">
        <f>'Option 1'!F$72</f>
        <v>102000</v>
      </c>
      <c r="G29" s="121">
        <f>'Option 1'!G$72</f>
        <v>138000</v>
      </c>
      <c r="H29" s="121">
        <f>'Option 1'!H$72</f>
        <v>180000</v>
      </c>
      <c r="I29" s="163"/>
    </row>
    <row r="30" spans="2:9" ht="30" customHeight="1" x14ac:dyDescent="0.15">
      <c r="B30" s="167" t="str">
        <f t="shared" ref="B30:B31" si="2">B7</f>
        <v>[Insert name of option e.g., Focus on new revenue]</v>
      </c>
      <c r="C30" s="121">
        <f>'Option 2'!C$72</f>
        <v>0</v>
      </c>
      <c r="D30" s="121">
        <f>'Option 2'!D$72</f>
        <v>69000</v>
      </c>
      <c r="E30" s="121">
        <f>'Option 2'!E$72</f>
        <v>78000</v>
      </c>
      <c r="F30" s="121">
        <f>'Option 2'!F$72</f>
        <v>96000</v>
      </c>
      <c r="G30" s="121">
        <f>'Option 2'!G$72</f>
        <v>132000</v>
      </c>
      <c r="H30" s="121">
        <f>'Option 2'!H$72</f>
        <v>174000</v>
      </c>
      <c r="I30" s="164"/>
    </row>
    <row r="31" spans="2:9" ht="30" customHeight="1" x14ac:dyDescent="0.15">
      <c r="B31" s="168" t="str">
        <f t="shared" si="2"/>
        <v>[Insert name of option e.g., High growth]</v>
      </c>
      <c r="C31" s="177">
        <f>'Option 3'!C$72</f>
        <v>0</v>
      </c>
      <c r="D31" s="177">
        <f>'Option 3'!D$72</f>
        <v>125000</v>
      </c>
      <c r="E31" s="177">
        <f>'Option 3'!E$72</f>
        <v>114000</v>
      </c>
      <c r="F31" s="177">
        <f>'Option 3'!F$72</f>
        <v>150000</v>
      </c>
      <c r="G31" s="177">
        <f>'Option 3'!G$72</f>
        <v>228000</v>
      </c>
      <c r="H31" s="177">
        <f>'Option 3'!H$72</f>
        <v>270000</v>
      </c>
      <c r="I31" s="165"/>
    </row>
    <row r="32" spans="2:9" ht="30" customHeight="1" x14ac:dyDescent="0.2">
      <c r="B32" s="26"/>
      <c r="C32" s="26"/>
      <c r="D32" s="26"/>
      <c r="E32" s="26"/>
      <c r="F32" s="26"/>
      <c r="G32" s="26"/>
      <c r="H32" s="26"/>
      <c r="I32" s="26"/>
    </row>
    <row r="33" spans="2:9" ht="43.5" customHeight="1" x14ac:dyDescent="0.15">
      <c r="B33" s="166" t="s">
        <v>161</v>
      </c>
      <c r="C33" s="171" t="str">
        <f>C23</f>
        <v>Entry</v>
      </c>
      <c r="D33" s="171" t="str">
        <f t="shared" ref="D33:I33" si="3">D23</f>
        <v>Year 1</v>
      </c>
      <c r="E33" s="171" t="str">
        <f t="shared" si="3"/>
        <v>Year 2</v>
      </c>
      <c r="F33" s="171" t="str">
        <f t="shared" si="3"/>
        <v>Year 3</v>
      </c>
      <c r="G33" s="171" t="str">
        <f t="shared" si="3"/>
        <v>Year 4</v>
      </c>
      <c r="H33" s="171" t="str">
        <f t="shared" si="3"/>
        <v>Year 5</v>
      </c>
      <c r="I33" s="172" t="str">
        <f t="shared" si="3"/>
        <v>Exit</v>
      </c>
    </row>
    <row r="34" spans="2:9" ht="30" customHeight="1" x14ac:dyDescent="0.15">
      <c r="B34" s="167" t="str">
        <f>B6</f>
        <v>[Insert name of option e.g., Do minimum]</v>
      </c>
      <c r="C34" s="121">
        <f>'Option 1'!C$115</f>
        <v>-162000</v>
      </c>
      <c r="D34" s="121">
        <f>'Option 1'!D$115</f>
        <v>25477.315068493153</v>
      </c>
      <c r="E34" s="121">
        <f>'Option 1'!E$115</f>
        <v>24788.663013698635</v>
      </c>
      <c r="F34" s="121">
        <f>'Option 1'!F$115</f>
        <v>39604.966027397269</v>
      </c>
      <c r="G34" s="121">
        <f>'Option 1'!G$115</f>
        <v>67063.208054794522</v>
      </c>
      <c r="H34" s="121">
        <f>'Option 1'!H$115</f>
        <v>101137.16779726028</v>
      </c>
      <c r="I34" s="163">
        <f>'Option 1'!I$115</f>
        <v>2123880.5237424658</v>
      </c>
    </row>
    <row r="35" spans="2:9" ht="30" customHeight="1" x14ac:dyDescent="0.15">
      <c r="B35" s="167" t="str">
        <f t="shared" ref="B35:B36" si="4">B7</f>
        <v>[Insert name of option e.g., Focus on new revenue]</v>
      </c>
      <c r="C35" s="121">
        <f>'Option 2'!C$115</f>
        <v>-162000</v>
      </c>
      <c r="D35" s="121">
        <f>'Option 2'!D$115</f>
        <v>5197.3150684931534</v>
      </c>
      <c r="E35" s="121">
        <f>'Option 2'!E$115</f>
        <v>20108.663013698635</v>
      </c>
      <c r="F35" s="121">
        <f>'Option 2'!F$115</f>
        <v>34924.966027397255</v>
      </c>
      <c r="G35" s="121">
        <f>'Option 2'!G$115</f>
        <v>62383.208054794522</v>
      </c>
      <c r="H35" s="121">
        <f>'Option 2'!H$115</f>
        <v>96457.167797260277</v>
      </c>
      <c r="I35" s="163">
        <f>'Option 2'!I$115</f>
        <v>2025600.5237424658</v>
      </c>
    </row>
    <row r="36" spans="2:9" ht="30" customHeight="1" x14ac:dyDescent="0.15">
      <c r="B36" s="168" t="str">
        <f t="shared" si="4"/>
        <v>[Insert name of option e.g., High growth]</v>
      </c>
      <c r="C36" s="177">
        <f>'Option 3'!C$115</f>
        <v>-306000</v>
      </c>
      <c r="D36" s="177">
        <f>'Option 3'!D$115</f>
        <v>-7055.1780821917782</v>
      </c>
      <c r="E36" s="177">
        <f>'Option 3'!E$115</f>
        <v>13254.263013698626</v>
      </c>
      <c r="F36" s="177">
        <f>'Option 3'!F$115</f>
        <v>41211.572054794509</v>
      </c>
      <c r="G36" s="177">
        <f>'Option 3'!G$115</f>
        <v>99605.907452054787</v>
      </c>
      <c r="H36" s="177">
        <f>'Option 3'!H$115</f>
        <v>142369.29259726027</v>
      </c>
      <c r="I36" s="178">
        <f>'Option 3'!I$115</f>
        <v>2989755.1445424655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8" scale="69" fitToHeight="0" orientation="landscape" horizontalDpi="4294967292" verticalDpi="4294967292" r:id="rId1"/>
  <headerFooter>
    <oddHeader>&amp;L&amp;"Century Gothic,Bold"&amp;24Business Case Template</oddHeader>
    <oddFooter>&amp;F&amp;RPage &amp;P</oddFooter>
  </headerFooter>
  <rowBreaks count="1" manualBreakCount="1">
    <brk id="22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A9602-6B17-6142-AC27-F2EB43DE56DC}">
  <sheetPr>
    <pageSetUpPr fitToPage="1"/>
  </sheetPr>
  <dimension ref="B1:AC199"/>
  <sheetViews>
    <sheetView topLeftCell="A136" zoomScale="56" zoomScaleNormal="80" workbookViewId="0">
      <selection activeCell="G152" sqref="G152"/>
    </sheetView>
  </sheetViews>
  <sheetFormatPr baseColWidth="10" defaultColWidth="7.7109375" defaultRowHeight="16" x14ac:dyDescent="0.2"/>
  <cols>
    <col min="1" max="1" width="5.28515625" style="49" customWidth="1"/>
    <col min="2" max="2" width="68.85546875" style="49" customWidth="1"/>
    <col min="3" max="9" width="20.7109375" style="49" customWidth="1"/>
    <col min="10" max="11" width="17.7109375" style="49" customWidth="1"/>
    <col min="12" max="12" width="5.42578125" style="49" customWidth="1"/>
    <col min="13" max="16384" width="7.7109375" style="49"/>
  </cols>
  <sheetData>
    <row r="1" spans="2:29" ht="31.5" customHeight="1" x14ac:dyDescent="0.2"/>
    <row r="2" spans="2:29" s="71" customFormat="1" ht="54" customHeight="1" x14ac:dyDescent="0.2">
      <c r="B2" s="17" t="s">
        <v>154</v>
      </c>
      <c r="C2" s="151" t="s">
        <v>34</v>
      </c>
      <c r="D2" s="151"/>
      <c r="E2" s="151"/>
      <c r="F2" s="32"/>
      <c r="G2" s="32"/>
      <c r="H2" s="32"/>
      <c r="I2" s="32"/>
      <c r="J2" s="32"/>
      <c r="K2" s="32"/>
      <c r="L2" s="32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</row>
    <row r="3" spans="2:29" ht="20" customHeight="1" x14ac:dyDescent="0.2">
      <c r="B3" s="60"/>
      <c r="C3" s="72"/>
      <c r="D3" s="72"/>
      <c r="E3" s="15"/>
      <c r="F3" s="27"/>
      <c r="G3" s="27"/>
      <c r="H3" s="27"/>
      <c r="I3" s="27"/>
      <c r="J3" s="27"/>
      <c r="K3" s="15"/>
    </row>
    <row r="4" spans="2:29" ht="20" customHeight="1" x14ac:dyDescent="0.2">
      <c r="B4" s="60" t="s">
        <v>154</v>
      </c>
      <c r="C4" s="72" t="str">
        <f>C2</f>
        <v>[Insert name of option e.g., Do minimum]</v>
      </c>
      <c r="D4" s="72"/>
      <c r="E4" s="15"/>
      <c r="F4" s="27"/>
      <c r="G4" s="27"/>
      <c r="H4" s="27"/>
      <c r="I4" s="27"/>
      <c r="J4" s="27"/>
      <c r="K4" s="15"/>
    </row>
    <row r="5" spans="2:29" ht="30" customHeight="1" x14ac:dyDescent="0.2">
      <c r="B5" s="60" t="s">
        <v>67</v>
      </c>
      <c r="C5" s="56" t="s">
        <v>68</v>
      </c>
      <c r="D5" s="56"/>
      <c r="E5" s="56"/>
      <c r="F5" s="55"/>
      <c r="G5" s="55"/>
      <c r="H5" s="55"/>
      <c r="I5" s="55"/>
      <c r="J5" s="55"/>
      <c r="K5" s="55"/>
      <c r="L5" s="55"/>
    </row>
    <row r="6" spans="2:29" ht="19.5" customHeight="1" x14ac:dyDescent="0.2"/>
    <row r="7" spans="2:29" s="58" customFormat="1" ht="22" customHeight="1" x14ac:dyDescent="0.2">
      <c r="B7" s="61" t="s">
        <v>6</v>
      </c>
      <c r="C7" s="64" t="s">
        <v>4</v>
      </c>
      <c r="D7" s="65" t="s">
        <v>35</v>
      </c>
      <c r="E7" s="65" t="s">
        <v>36</v>
      </c>
      <c r="F7" s="65" t="s">
        <v>37</v>
      </c>
      <c r="G7" s="65" t="s">
        <v>38</v>
      </c>
      <c r="H7" s="65" t="s">
        <v>39</v>
      </c>
      <c r="I7" s="65" t="s">
        <v>5</v>
      </c>
      <c r="J7" s="73"/>
      <c r="K7" s="73"/>
    </row>
    <row r="8" spans="2:29" ht="20" customHeight="1" x14ac:dyDescent="0.2">
      <c r="C8" s="74"/>
      <c r="D8" s="75"/>
      <c r="F8" s="76"/>
      <c r="G8" s="76"/>
      <c r="H8" s="76"/>
      <c r="I8" s="76"/>
      <c r="J8" s="76"/>
      <c r="K8" s="76"/>
    </row>
    <row r="9" spans="2:29" ht="20" customHeight="1" x14ac:dyDescent="0.2">
      <c r="B9" s="12" t="s">
        <v>0</v>
      </c>
      <c r="C9" s="74"/>
      <c r="D9" s="75"/>
      <c r="F9" s="76"/>
      <c r="G9" s="76"/>
      <c r="H9" s="76"/>
      <c r="I9" s="76"/>
      <c r="J9" s="76"/>
      <c r="K9" s="76"/>
    </row>
    <row r="10" spans="2:29" ht="20" customHeight="1" x14ac:dyDescent="0.2">
      <c r="B10" s="49" t="s">
        <v>7</v>
      </c>
      <c r="C10" s="74">
        <v>45778</v>
      </c>
      <c r="D10" s="75"/>
      <c r="F10" s="76"/>
      <c r="G10" s="76"/>
      <c r="H10" s="76"/>
      <c r="I10" s="76"/>
      <c r="J10" s="76"/>
      <c r="K10" s="76"/>
    </row>
    <row r="11" spans="2:29" ht="20" customHeight="1" x14ac:dyDescent="0.2">
      <c r="B11" s="49" t="s">
        <v>8</v>
      </c>
      <c r="C11" s="74">
        <v>45838</v>
      </c>
      <c r="D11" s="75"/>
      <c r="F11" s="76"/>
      <c r="G11" s="76"/>
      <c r="H11" s="76"/>
      <c r="I11" s="76"/>
      <c r="J11" s="76"/>
      <c r="K11" s="76"/>
    </row>
    <row r="12" spans="2:29" ht="20" customHeight="1" x14ac:dyDescent="0.2">
      <c r="B12" s="49" t="s">
        <v>3</v>
      </c>
      <c r="C12" s="74">
        <f>C10</f>
        <v>45778</v>
      </c>
      <c r="D12" s="74">
        <f>DATE(YEAR($C$11)+D13,6,30)</f>
        <v>46203</v>
      </c>
      <c r="E12" s="74">
        <f t="shared" ref="E12:I12" si="0">DATE(YEAR($C$11)+E13,6,30)</f>
        <v>46568</v>
      </c>
      <c r="F12" s="74">
        <f t="shared" si="0"/>
        <v>46934</v>
      </c>
      <c r="G12" s="74">
        <f t="shared" si="0"/>
        <v>47299</v>
      </c>
      <c r="H12" s="74">
        <f t="shared" si="0"/>
        <v>47664</v>
      </c>
      <c r="I12" s="74">
        <f t="shared" si="0"/>
        <v>48029</v>
      </c>
      <c r="J12" s="78"/>
      <c r="K12" s="78"/>
    </row>
    <row r="13" spans="2:29" ht="20" customHeight="1" x14ac:dyDescent="0.2">
      <c r="B13" s="49" t="s">
        <v>148</v>
      </c>
      <c r="C13" s="79">
        <v>0</v>
      </c>
      <c r="D13" s="77">
        <v>1</v>
      </c>
      <c r="E13" s="134">
        <f>D13+1</f>
        <v>2</v>
      </c>
      <c r="F13" s="134">
        <f t="shared" ref="F13:I13" si="1">E13+1</f>
        <v>3</v>
      </c>
      <c r="G13" s="134">
        <f t="shared" si="1"/>
        <v>4</v>
      </c>
      <c r="H13" s="134">
        <f t="shared" si="1"/>
        <v>5</v>
      </c>
      <c r="I13" s="134">
        <f t="shared" si="1"/>
        <v>6</v>
      </c>
      <c r="J13" s="79"/>
      <c r="K13" s="79"/>
    </row>
    <row r="14" spans="2:29" ht="20" customHeight="1" x14ac:dyDescent="0.2">
      <c r="B14" s="49" t="s">
        <v>149</v>
      </c>
      <c r="C14" s="77"/>
      <c r="D14" s="135">
        <f>YEARFRAC(C12,D12)</f>
        <v>1.163888888888889</v>
      </c>
      <c r="E14" s="135">
        <f t="shared" ref="E14:H14" si="2">YEARFRAC(D12,E12)</f>
        <v>1</v>
      </c>
      <c r="F14" s="135">
        <f t="shared" si="2"/>
        <v>1</v>
      </c>
      <c r="G14" s="135">
        <f t="shared" si="2"/>
        <v>1</v>
      </c>
      <c r="H14" s="135">
        <f t="shared" si="2"/>
        <v>1</v>
      </c>
      <c r="I14" s="80"/>
      <c r="J14" s="80"/>
      <c r="K14" s="77"/>
    </row>
    <row r="15" spans="2:29" ht="20" customHeight="1" x14ac:dyDescent="0.2">
      <c r="C15" s="74"/>
      <c r="D15" s="75"/>
      <c r="F15" s="76"/>
      <c r="G15" s="76"/>
      <c r="H15" s="76"/>
      <c r="I15" s="76"/>
      <c r="J15" s="76"/>
      <c r="K15" s="76"/>
    </row>
    <row r="16" spans="2:29" ht="20" customHeight="1" x14ac:dyDescent="0.2">
      <c r="B16" s="12" t="s">
        <v>1</v>
      </c>
      <c r="C16" s="74"/>
      <c r="D16" s="75"/>
      <c r="F16" s="76"/>
      <c r="G16" s="76"/>
      <c r="H16" s="76"/>
      <c r="I16" s="76"/>
      <c r="J16" s="76"/>
      <c r="K16" s="76"/>
    </row>
    <row r="17" spans="2:11" ht="19.5" customHeight="1" x14ac:dyDescent="0.2">
      <c r="B17" s="49" t="s">
        <v>116</v>
      </c>
      <c r="C17" s="120">
        <v>0.4</v>
      </c>
      <c r="F17" s="76"/>
      <c r="G17" s="76"/>
      <c r="H17" s="76"/>
      <c r="I17" s="76"/>
      <c r="J17" s="76"/>
      <c r="K17" s="76"/>
    </row>
    <row r="18" spans="2:11" ht="20" customHeight="1" x14ac:dyDescent="0.2">
      <c r="B18" s="49" t="s">
        <v>117</v>
      </c>
      <c r="C18" s="120">
        <v>0.22</v>
      </c>
      <c r="F18" s="76"/>
      <c r="G18" s="76"/>
      <c r="H18" s="76"/>
      <c r="I18" s="76"/>
      <c r="J18" s="76"/>
      <c r="K18" s="76"/>
    </row>
    <row r="19" spans="2:11" ht="19.5" customHeight="1" x14ac:dyDescent="0.2">
      <c r="B19" s="21" t="s">
        <v>124</v>
      </c>
      <c r="C19" s="120">
        <v>0.1</v>
      </c>
      <c r="F19" s="76"/>
      <c r="G19" s="76"/>
      <c r="H19" s="76"/>
      <c r="I19" s="76"/>
      <c r="J19" s="76"/>
      <c r="K19" s="76"/>
    </row>
    <row r="20" spans="2:11" ht="19.5" customHeight="1" x14ac:dyDescent="0.2">
      <c r="B20" s="21"/>
      <c r="C20" s="23"/>
      <c r="D20" s="81"/>
      <c r="F20" s="76"/>
      <c r="G20" s="76"/>
      <c r="H20" s="76"/>
      <c r="I20" s="76"/>
      <c r="J20" s="76"/>
      <c r="K20" s="76"/>
    </row>
    <row r="21" spans="2:11" ht="19.5" customHeight="1" x14ac:dyDescent="0.2">
      <c r="B21" s="12" t="s">
        <v>150</v>
      </c>
      <c r="C21" s="23"/>
      <c r="D21" s="81"/>
      <c r="F21" s="76"/>
      <c r="G21" s="76"/>
      <c r="H21" s="76"/>
      <c r="I21" s="76"/>
      <c r="J21" s="76"/>
      <c r="K21" s="76"/>
    </row>
    <row r="22" spans="2:11" ht="19.5" customHeight="1" x14ac:dyDescent="0.2">
      <c r="B22" s="49" t="s">
        <v>151</v>
      </c>
      <c r="C22" s="120">
        <v>0.2</v>
      </c>
      <c r="D22" s="81"/>
      <c r="F22" s="76"/>
      <c r="G22" s="76"/>
      <c r="H22" s="76"/>
      <c r="I22" s="76"/>
      <c r="J22" s="76"/>
      <c r="K22" s="76"/>
    </row>
    <row r="23" spans="2:11" ht="19.5" customHeight="1" x14ac:dyDescent="0.2">
      <c r="B23" s="21"/>
      <c r="C23" s="23"/>
      <c r="D23" s="81"/>
      <c r="F23" s="76"/>
      <c r="G23" s="76"/>
      <c r="H23" s="76"/>
      <c r="I23" s="76"/>
      <c r="J23" s="76"/>
      <c r="K23" s="76"/>
    </row>
    <row r="24" spans="2:11" ht="19.5" customHeight="1" x14ac:dyDescent="0.2">
      <c r="B24" s="12" t="s">
        <v>147</v>
      </c>
      <c r="C24" s="23"/>
      <c r="D24" s="81"/>
      <c r="F24" s="76"/>
      <c r="G24" s="76"/>
      <c r="H24" s="76"/>
      <c r="I24" s="76"/>
      <c r="J24" s="76"/>
      <c r="K24" s="76"/>
    </row>
    <row r="25" spans="2:11" ht="19.5" customHeight="1" x14ac:dyDescent="0.2">
      <c r="B25" s="21" t="s">
        <v>144</v>
      </c>
      <c r="C25" s="127">
        <v>30</v>
      </c>
      <c r="F25" s="76"/>
      <c r="G25" s="76"/>
      <c r="H25" s="76"/>
      <c r="I25" s="76"/>
      <c r="J25" s="76"/>
      <c r="K25" s="76"/>
    </row>
    <row r="26" spans="2:11" ht="19.5" customHeight="1" x14ac:dyDescent="0.2">
      <c r="B26" s="21" t="s">
        <v>145</v>
      </c>
      <c r="C26" s="127">
        <v>60</v>
      </c>
      <c r="F26" s="76"/>
      <c r="G26" s="76"/>
      <c r="H26" s="76"/>
      <c r="I26" s="76"/>
      <c r="J26" s="76"/>
      <c r="K26" s="76"/>
    </row>
    <row r="27" spans="2:11" ht="19.5" customHeight="1" x14ac:dyDescent="0.2">
      <c r="B27" s="21" t="s">
        <v>146</v>
      </c>
      <c r="C27" s="127">
        <v>30</v>
      </c>
      <c r="F27" s="76"/>
      <c r="G27" s="76"/>
      <c r="H27" s="76"/>
      <c r="I27" s="76"/>
      <c r="J27" s="76"/>
      <c r="K27" s="76"/>
    </row>
    <row r="28" spans="2:11" ht="20" customHeight="1" x14ac:dyDescent="0.2">
      <c r="D28" s="81"/>
      <c r="F28" s="76"/>
      <c r="G28" s="76"/>
      <c r="H28" s="76"/>
      <c r="I28" s="76"/>
      <c r="J28" s="76"/>
      <c r="K28" s="76"/>
    </row>
    <row r="29" spans="2:11" ht="20" customHeight="1" x14ac:dyDescent="0.2">
      <c r="B29" s="12" t="s">
        <v>9</v>
      </c>
      <c r="D29" s="81"/>
      <c r="F29" s="76"/>
      <c r="G29" s="76"/>
      <c r="H29" s="76"/>
      <c r="I29" s="76"/>
      <c r="J29" s="76"/>
      <c r="K29" s="76"/>
    </row>
    <row r="30" spans="2:11" ht="20" customHeight="1" x14ac:dyDescent="0.2">
      <c r="B30" s="49" t="s">
        <v>143</v>
      </c>
      <c r="C30" s="120">
        <v>0.1</v>
      </c>
      <c r="F30" s="76"/>
      <c r="G30" s="76"/>
      <c r="H30" s="76"/>
      <c r="I30" s="76"/>
      <c r="J30" s="76"/>
      <c r="K30" s="76"/>
    </row>
    <row r="31" spans="2:11" ht="19.5" customHeight="1" x14ac:dyDescent="0.2">
      <c r="B31" s="21" t="s">
        <v>142</v>
      </c>
      <c r="C31" s="120">
        <v>0.2</v>
      </c>
      <c r="F31" s="76"/>
      <c r="G31" s="76"/>
      <c r="H31" s="76"/>
      <c r="I31" s="76"/>
      <c r="J31" s="76"/>
      <c r="K31" s="76"/>
    </row>
    <row r="32" spans="2:11" ht="20" customHeight="1" x14ac:dyDescent="0.2">
      <c r="D32" s="81"/>
      <c r="F32" s="76"/>
      <c r="G32" s="76"/>
      <c r="H32" s="76"/>
      <c r="I32" s="76"/>
      <c r="J32" s="76"/>
      <c r="K32" s="76"/>
    </row>
    <row r="33" spans="2:12" ht="20" customHeight="1" x14ac:dyDescent="0.2">
      <c r="B33" s="12" t="s">
        <v>2</v>
      </c>
      <c r="D33" s="81"/>
      <c r="F33" s="76"/>
      <c r="G33" s="76"/>
      <c r="H33" s="76"/>
      <c r="I33" s="76"/>
      <c r="J33" s="76"/>
      <c r="K33" s="76"/>
    </row>
    <row r="34" spans="2:12" ht="20" customHeight="1" x14ac:dyDescent="0.2">
      <c r="B34" s="49" t="s">
        <v>10</v>
      </c>
      <c r="C34" s="120">
        <v>0.1</v>
      </c>
      <c r="F34" s="76"/>
      <c r="G34" s="76"/>
      <c r="H34" s="76"/>
      <c r="I34" s="76"/>
      <c r="J34" s="76"/>
      <c r="K34" s="76"/>
    </row>
    <row r="35" spans="2:12" ht="20" customHeight="1" x14ac:dyDescent="0.2">
      <c r="B35" s="49" t="s">
        <v>11</v>
      </c>
      <c r="C35" s="120">
        <v>0.05</v>
      </c>
      <c r="D35" s="81"/>
      <c r="F35" s="76"/>
      <c r="G35" s="76"/>
      <c r="H35" s="76"/>
      <c r="I35" s="76"/>
      <c r="J35" s="76"/>
      <c r="K35" s="76"/>
    </row>
    <row r="36" spans="2:12" ht="20" customHeight="1" x14ac:dyDescent="0.2">
      <c r="B36" s="77"/>
      <c r="C36" s="75"/>
      <c r="D36" s="75"/>
      <c r="E36" s="74"/>
      <c r="F36" s="76"/>
      <c r="G36" s="76"/>
      <c r="H36" s="76"/>
      <c r="I36" s="76"/>
      <c r="J36" s="76"/>
      <c r="K36" s="76"/>
    </row>
    <row r="37" spans="2:12" s="58" customFormat="1" ht="20" customHeight="1" x14ac:dyDescent="0.2">
      <c r="B37" s="61" t="s">
        <v>69</v>
      </c>
      <c r="C37" s="64" t="s">
        <v>4</v>
      </c>
      <c r="D37" s="65" t="s">
        <v>35</v>
      </c>
      <c r="E37" s="65" t="s">
        <v>36</v>
      </c>
      <c r="F37" s="65" t="s">
        <v>37</v>
      </c>
      <c r="G37" s="65" t="s">
        <v>38</v>
      </c>
      <c r="H37" s="65" t="s">
        <v>39</v>
      </c>
      <c r="I37" s="65" t="s">
        <v>5</v>
      </c>
      <c r="L37" s="73"/>
    </row>
    <row r="38" spans="2:12" s="31" customFormat="1" ht="20" customHeight="1" x14ac:dyDescent="0.2">
      <c r="B38" s="62"/>
      <c r="C38" s="30"/>
      <c r="D38" s="59"/>
      <c r="E38" s="59"/>
      <c r="F38" s="59"/>
      <c r="G38" s="59"/>
      <c r="H38" s="59"/>
      <c r="I38" s="30"/>
      <c r="L38" s="82"/>
    </row>
    <row r="39" spans="2:12" s="69" customFormat="1" ht="20" customHeight="1" x14ac:dyDescent="0.2">
      <c r="B39" s="66" t="s">
        <v>1</v>
      </c>
      <c r="C39" s="67"/>
      <c r="D39" s="68"/>
      <c r="E39" s="68"/>
      <c r="F39" s="68"/>
      <c r="G39" s="68"/>
      <c r="H39" s="68"/>
      <c r="I39" s="67"/>
      <c r="L39" s="83"/>
    </row>
    <row r="40" spans="2:12" ht="20" customHeight="1" x14ac:dyDescent="0.2">
      <c r="B40" s="60"/>
      <c r="C40" s="15"/>
      <c r="D40" s="27"/>
      <c r="E40" s="27"/>
      <c r="F40" s="27"/>
      <c r="G40" s="27"/>
      <c r="H40" s="27"/>
      <c r="I40" s="15"/>
      <c r="L40" s="84"/>
    </row>
    <row r="41" spans="2:12" ht="36" customHeight="1" x14ac:dyDescent="0.2">
      <c r="B41" s="50" t="s">
        <v>70</v>
      </c>
      <c r="C41" s="103"/>
      <c r="D41" s="103"/>
      <c r="E41" s="103"/>
      <c r="F41" s="103"/>
      <c r="G41" s="103"/>
      <c r="H41" s="103"/>
    </row>
    <row r="42" spans="2:12" ht="20" customHeight="1" x14ac:dyDescent="0.2">
      <c r="B42" s="49" t="s">
        <v>71</v>
      </c>
      <c r="C42" s="104"/>
      <c r="D42" s="119">
        <v>75000</v>
      </c>
      <c r="E42" s="119">
        <v>90000</v>
      </c>
      <c r="F42" s="119">
        <v>120000</v>
      </c>
      <c r="G42" s="119">
        <v>180000</v>
      </c>
      <c r="H42" s="119">
        <v>250000</v>
      </c>
    </row>
    <row r="43" spans="2:12" ht="20" customHeight="1" x14ac:dyDescent="0.2">
      <c r="B43" s="49" t="s">
        <v>72</v>
      </c>
      <c r="C43" s="103"/>
      <c r="D43" s="103">
        <f>D42*$C$17</f>
        <v>30000</v>
      </c>
      <c r="E43" s="103">
        <f>E42*$C$17</f>
        <v>36000</v>
      </c>
      <c r="F43" s="103">
        <f>F42*$C$17</f>
        <v>48000</v>
      </c>
      <c r="G43" s="103">
        <f>G42*$C$17</f>
        <v>72000</v>
      </c>
      <c r="H43" s="103">
        <f>H42*$C$17</f>
        <v>100000</v>
      </c>
    </row>
    <row r="44" spans="2:12" ht="20" customHeight="1" thickBot="1" x14ac:dyDescent="0.25">
      <c r="B44" s="98" t="s">
        <v>73</v>
      </c>
      <c r="C44" s="102">
        <f>(C42-C43)</f>
        <v>0</v>
      </c>
      <c r="D44" s="102">
        <f t="shared" ref="D44:H44" si="3">(D42-D43)</f>
        <v>45000</v>
      </c>
      <c r="E44" s="102">
        <f t="shared" si="3"/>
        <v>54000</v>
      </c>
      <c r="F44" s="102">
        <f t="shared" si="3"/>
        <v>72000</v>
      </c>
      <c r="G44" s="102">
        <f t="shared" si="3"/>
        <v>108000</v>
      </c>
      <c r="H44" s="102">
        <f t="shared" si="3"/>
        <v>150000</v>
      </c>
    </row>
    <row r="45" spans="2:12" ht="20" customHeight="1" thickTop="1" x14ac:dyDescent="0.2">
      <c r="B45" s="50"/>
      <c r="C45" s="105"/>
      <c r="D45" s="105"/>
      <c r="E45" s="105"/>
      <c r="F45" s="105"/>
      <c r="G45" s="105"/>
      <c r="H45" s="105"/>
    </row>
    <row r="46" spans="2:12" ht="20" customHeight="1" x14ac:dyDescent="0.2">
      <c r="B46" s="50" t="s">
        <v>74</v>
      </c>
      <c r="C46" s="103"/>
      <c r="D46" s="103"/>
      <c r="E46" s="103"/>
      <c r="F46" s="103"/>
      <c r="G46" s="103"/>
      <c r="H46" s="103"/>
    </row>
    <row r="47" spans="2:12" ht="20" customHeight="1" x14ac:dyDescent="0.2">
      <c r="B47" s="49" t="s">
        <v>75</v>
      </c>
      <c r="C47" s="104"/>
      <c r="D47" s="119">
        <v>100000</v>
      </c>
      <c r="E47" s="119">
        <v>80000</v>
      </c>
      <c r="F47" s="119">
        <v>80000</v>
      </c>
      <c r="G47" s="119">
        <v>80000</v>
      </c>
      <c r="H47" s="119">
        <v>80000</v>
      </c>
    </row>
    <row r="48" spans="2:12" ht="20" customHeight="1" x14ac:dyDescent="0.2">
      <c r="B48" s="49" t="s">
        <v>75</v>
      </c>
      <c r="C48" s="104"/>
      <c r="D48" s="119">
        <v>0</v>
      </c>
      <c r="E48" s="119">
        <v>0</v>
      </c>
      <c r="F48" s="119">
        <v>0</v>
      </c>
      <c r="G48" s="119">
        <v>0</v>
      </c>
      <c r="H48" s="119">
        <v>0</v>
      </c>
    </row>
    <row r="49" spans="2:8" ht="20" customHeight="1" thickBot="1" x14ac:dyDescent="0.25">
      <c r="B49" s="98" t="s">
        <v>76</v>
      </c>
      <c r="C49" s="102">
        <f>SUM(C47:C48)</f>
        <v>0</v>
      </c>
      <c r="D49" s="102">
        <f t="shared" ref="D49:H49" si="4">SUM(D47:D48)</f>
        <v>100000</v>
      </c>
      <c r="E49" s="102">
        <f t="shared" si="4"/>
        <v>80000</v>
      </c>
      <c r="F49" s="102">
        <f t="shared" si="4"/>
        <v>80000</v>
      </c>
      <c r="G49" s="102">
        <f t="shared" si="4"/>
        <v>80000</v>
      </c>
      <c r="H49" s="102">
        <f t="shared" si="4"/>
        <v>80000</v>
      </c>
    </row>
    <row r="50" spans="2:8" ht="20" customHeight="1" thickTop="1" x14ac:dyDescent="0.2">
      <c r="B50" s="50"/>
      <c r="C50" s="105"/>
      <c r="D50" s="105"/>
      <c r="E50" s="105"/>
      <c r="F50" s="105"/>
      <c r="G50" s="105"/>
      <c r="H50" s="105"/>
    </row>
    <row r="51" spans="2:8" s="89" customFormat="1" ht="20" customHeight="1" x14ac:dyDescent="0.2">
      <c r="B51" s="88" t="s">
        <v>87</v>
      </c>
      <c r="C51" s="106"/>
      <c r="D51" s="106"/>
      <c r="E51" s="106"/>
      <c r="F51" s="106"/>
      <c r="G51" s="106"/>
      <c r="H51" s="106"/>
    </row>
    <row r="52" spans="2:8" ht="20" customHeight="1" x14ac:dyDescent="0.2">
      <c r="C52" s="104"/>
      <c r="D52" s="104"/>
      <c r="E52" s="104"/>
      <c r="F52" s="104"/>
      <c r="G52" s="104"/>
      <c r="H52" s="104"/>
    </row>
    <row r="53" spans="2:8" ht="20" customHeight="1" x14ac:dyDescent="0.2">
      <c r="B53" s="100" t="s">
        <v>89</v>
      </c>
      <c r="C53" s="107"/>
      <c r="D53" s="107"/>
      <c r="E53" s="107"/>
      <c r="F53" s="107"/>
      <c r="G53" s="107"/>
      <c r="H53" s="107"/>
    </row>
    <row r="54" spans="2:8" ht="20" customHeight="1" x14ac:dyDescent="0.2">
      <c r="B54" s="101" t="s">
        <v>90</v>
      </c>
      <c r="C54" s="104"/>
      <c r="D54" s="111">
        <v>30000</v>
      </c>
      <c r="E54" s="111">
        <f>D54</f>
        <v>30000</v>
      </c>
      <c r="F54" s="111">
        <f t="shared" ref="F54:H54" si="5">E54</f>
        <v>30000</v>
      </c>
      <c r="G54" s="111">
        <f t="shared" si="5"/>
        <v>30000</v>
      </c>
      <c r="H54" s="111">
        <f t="shared" si="5"/>
        <v>30000</v>
      </c>
    </row>
    <row r="55" spans="2:8" ht="20" customHeight="1" x14ac:dyDescent="0.2">
      <c r="B55" s="101" t="s">
        <v>91</v>
      </c>
      <c r="C55" s="104"/>
      <c r="D55" s="111">
        <v>15000</v>
      </c>
      <c r="E55" s="111">
        <f>D55</f>
        <v>15000</v>
      </c>
      <c r="F55" s="111">
        <f t="shared" ref="F55:H55" si="6">E55</f>
        <v>15000</v>
      </c>
      <c r="G55" s="111">
        <f t="shared" si="6"/>
        <v>15000</v>
      </c>
      <c r="H55" s="111">
        <f t="shared" si="6"/>
        <v>15000</v>
      </c>
    </row>
    <row r="56" spans="2:8" ht="20" customHeight="1" x14ac:dyDescent="0.2">
      <c r="B56" s="101" t="s">
        <v>92</v>
      </c>
      <c r="C56" s="104"/>
      <c r="D56" s="111">
        <v>4000</v>
      </c>
      <c r="E56" s="111">
        <f>D56</f>
        <v>4000</v>
      </c>
      <c r="F56" s="111">
        <f t="shared" ref="F56:H56" si="7">E56</f>
        <v>4000</v>
      </c>
      <c r="G56" s="111">
        <f t="shared" si="7"/>
        <v>4000</v>
      </c>
      <c r="H56" s="111">
        <f t="shared" si="7"/>
        <v>4000</v>
      </c>
    </row>
    <row r="57" spans="2:8" ht="20" customHeight="1" x14ac:dyDescent="0.2">
      <c r="B57" s="101" t="s">
        <v>93</v>
      </c>
      <c r="C57" s="104"/>
      <c r="D57" s="111">
        <v>0</v>
      </c>
      <c r="E57" s="111">
        <v>0</v>
      </c>
      <c r="F57" s="111">
        <v>0</v>
      </c>
      <c r="G57" s="111">
        <v>0</v>
      </c>
      <c r="H57" s="111">
        <v>0</v>
      </c>
    </row>
    <row r="58" spans="2:8" ht="20" customHeight="1" x14ac:dyDescent="0.2">
      <c r="B58" s="101" t="s">
        <v>94</v>
      </c>
      <c r="C58" s="104"/>
      <c r="D58" s="111">
        <v>0</v>
      </c>
      <c r="E58" s="111">
        <v>0</v>
      </c>
      <c r="F58" s="111">
        <v>0</v>
      </c>
      <c r="G58" s="111">
        <v>0</v>
      </c>
      <c r="H58" s="111">
        <v>0</v>
      </c>
    </row>
    <row r="59" spans="2:8" ht="20" customHeight="1" x14ac:dyDescent="0.2">
      <c r="B59" s="101"/>
      <c r="C59" s="107"/>
      <c r="D59" s="112"/>
      <c r="E59" s="112"/>
      <c r="F59" s="112"/>
      <c r="G59" s="112"/>
      <c r="H59" s="112"/>
    </row>
    <row r="60" spans="2:8" ht="20" customHeight="1" x14ac:dyDescent="0.2">
      <c r="B60" s="100" t="s">
        <v>95</v>
      </c>
      <c r="C60" s="108"/>
      <c r="D60" s="136"/>
      <c r="E60" s="136"/>
      <c r="F60" s="136"/>
      <c r="G60" s="136"/>
      <c r="H60" s="136"/>
    </row>
    <row r="61" spans="2:8" ht="20" customHeight="1" x14ac:dyDescent="0.2">
      <c r="B61" s="101" t="s">
        <v>96</v>
      </c>
      <c r="C61" s="104"/>
      <c r="D61" s="111">
        <v>1000</v>
      </c>
      <c r="E61" s="111">
        <v>1000</v>
      </c>
      <c r="F61" s="111">
        <v>1000</v>
      </c>
      <c r="G61" s="111">
        <v>1000</v>
      </c>
      <c r="H61" s="111">
        <v>1000</v>
      </c>
    </row>
    <row r="62" spans="2:8" ht="20" customHeight="1" x14ac:dyDescent="0.2">
      <c r="B62" s="101" t="s">
        <v>97</v>
      </c>
      <c r="C62" s="104"/>
      <c r="D62" s="111">
        <v>0</v>
      </c>
      <c r="E62" s="111">
        <v>0</v>
      </c>
      <c r="F62" s="111">
        <v>0</v>
      </c>
      <c r="G62" s="111">
        <v>0</v>
      </c>
      <c r="H62" s="111">
        <v>0</v>
      </c>
    </row>
    <row r="63" spans="2:8" ht="20" customHeight="1" x14ac:dyDescent="0.2">
      <c r="B63" s="101" t="s">
        <v>98</v>
      </c>
      <c r="C63" s="104"/>
      <c r="D63" s="111">
        <v>0</v>
      </c>
      <c r="E63" s="111">
        <v>0</v>
      </c>
      <c r="F63" s="111">
        <v>0</v>
      </c>
      <c r="G63" s="111">
        <v>0</v>
      </c>
      <c r="H63" s="111">
        <v>0</v>
      </c>
    </row>
    <row r="64" spans="2:8" ht="20" customHeight="1" x14ac:dyDescent="0.2">
      <c r="B64" s="101" t="s">
        <v>99</v>
      </c>
      <c r="C64" s="104"/>
      <c r="D64" s="111">
        <v>0</v>
      </c>
      <c r="E64" s="111">
        <v>0</v>
      </c>
      <c r="F64" s="111">
        <v>0</v>
      </c>
      <c r="G64" s="111">
        <v>0</v>
      </c>
      <c r="H64" s="111">
        <v>0</v>
      </c>
    </row>
    <row r="65" spans="2:8" ht="20" customHeight="1" x14ac:dyDescent="0.2">
      <c r="B65" s="101" t="s">
        <v>100</v>
      </c>
      <c r="C65" s="104"/>
      <c r="D65" s="111">
        <v>0</v>
      </c>
      <c r="E65" s="111">
        <v>0</v>
      </c>
      <c r="F65" s="111">
        <v>0</v>
      </c>
      <c r="G65" s="111">
        <v>0</v>
      </c>
      <c r="H65" s="111">
        <v>0</v>
      </c>
    </row>
    <row r="66" spans="2:8" ht="20" customHeight="1" x14ac:dyDescent="0.2">
      <c r="B66" s="101"/>
      <c r="C66" s="107"/>
      <c r="D66" s="112"/>
      <c r="E66" s="112"/>
      <c r="F66" s="112"/>
      <c r="G66" s="112"/>
      <c r="H66" s="112"/>
    </row>
    <row r="67" spans="2:8" ht="20" customHeight="1" x14ac:dyDescent="0.2">
      <c r="B67" s="100" t="s">
        <v>101</v>
      </c>
      <c r="C67" s="108"/>
      <c r="D67" s="136"/>
      <c r="E67" s="136"/>
      <c r="F67" s="136"/>
      <c r="G67" s="136"/>
      <c r="H67" s="136"/>
    </row>
    <row r="68" spans="2:8" ht="20" customHeight="1" x14ac:dyDescent="0.2">
      <c r="B68" s="101" t="s">
        <v>102</v>
      </c>
      <c r="C68" s="104"/>
      <c r="D68" s="111">
        <v>0</v>
      </c>
      <c r="E68" s="111">
        <v>0</v>
      </c>
      <c r="F68" s="111">
        <v>0</v>
      </c>
      <c r="G68" s="111">
        <v>0</v>
      </c>
      <c r="H68" s="111">
        <v>0</v>
      </c>
    </row>
    <row r="69" spans="2:8" ht="20" customHeight="1" x14ac:dyDescent="0.2">
      <c r="C69" s="104"/>
      <c r="D69" s="104"/>
      <c r="E69" s="104"/>
      <c r="F69" s="104"/>
      <c r="G69" s="104"/>
      <c r="H69" s="104"/>
    </row>
    <row r="70" spans="2:8" ht="20" customHeight="1" thickBot="1" x14ac:dyDescent="0.25">
      <c r="B70" s="98" t="s">
        <v>103</v>
      </c>
      <c r="C70" s="102">
        <f t="shared" ref="C70:H70" si="8">-SUM(C52:C69)</f>
        <v>0</v>
      </c>
      <c r="D70" s="102">
        <f t="shared" si="8"/>
        <v>-50000</v>
      </c>
      <c r="E70" s="102">
        <f t="shared" si="8"/>
        <v>-50000</v>
      </c>
      <c r="F70" s="102">
        <f t="shared" si="8"/>
        <v>-50000</v>
      </c>
      <c r="G70" s="102">
        <f t="shared" si="8"/>
        <v>-50000</v>
      </c>
      <c r="H70" s="102">
        <f t="shared" si="8"/>
        <v>-50000</v>
      </c>
    </row>
    <row r="71" spans="2:8" ht="20" customHeight="1" thickTop="1" x14ac:dyDescent="0.2">
      <c r="B71" s="50"/>
      <c r="C71" s="105"/>
      <c r="D71" s="105"/>
      <c r="E71" s="105"/>
      <c r="F71" s="105"/>
      <c r="G71" s="105"/>
      <c r="H71" s="105"/>
    </row>
    <row r="72" spans="2:8" ht="20" customHeight="1" x14ac:dyDescent="0.2">
      <c r="B72" s="50" t="s">
        <v>104</v>
      </c>
      <c r="C72" s="105">
        <f t="shared" ref="C72:H72" si="9">C44+C49+C70</f>
        <v>0</v>
      </c>
      <c r="D72" s="105">
        <f t="shared" si="9"/>
        <v>95000</v>
      </c>
      <c r="E72" s="105">
        <f t="shared" si="9"/>
        <v>84000</v>
      </c>
      <c r="F72" s="105">
        <f t="shared" si="9"/>
        <v>102000</v>
      </c>
      <c r="G72" s="105">
        <f t="shared" si="9"/>
        <v>138000</v>
      </c>
      <c r="H72" s="105">
        <f t="shared" si="9"/>
        <v>180000</v>
      </c>
    </row>
    <row r="73" spans="2:8" ht="20" customHeight="1" x14ac:dyDescent="0.2">
      <c r="B73" s="50"/>
      <c r="C73" s="105"/>
      <c r="D73" s="105"/>
      <c r="E73" s="105"/>
      <c r="F73" s="105"/>
      <c r="G73" s="105"/>
      <c r="H73" s="105"/>
    </row>
    <row r="74" spans="2:8" ht="20" customHeight="1" x14ac:dyDescent="0.2">
      <c r="B74" s="49" t="s">
        <v>12</v>
      </c>
      <c r="C74" s="103">
        <f>C162</f>
        <v>0</v>
      </c>
      <c r="D74" s="103">
        <f t="shared" ref="D74:H74" si="10">D162</f>
        <v>16200</v>
      </c>
      <c r="E74" s="103">
        <f t="shared" si="10"/>
        <v>14580</v>
      </c>
      <c r="F74" s="103">
        <f t="shared" si="10"/>
        <v>13122</v>
      </c>
      <c r="G74" s="103">
        <f t="shared" si="10"/>
        <v>11809.800000000001</v>
      </c>
      <c r="H74" s="103">
        <f t="shared" si="10"/>
        <v>10628.82</v>
      </c>
    </row>
    <row r="75" spans="2:8" ht="20" customHeight="1" x14ac:dyDescent="0.2">
      <c r="B75" s="49" t="s">
        <v>13</v>
      </c>
      <c r="C75" s="103">
        <f>C171</f>
        <v>0</v>
      </c>
      <c r="D75" s="103">
        <f t="shared" ref="D75:H75" si="11">D171</f>
        <v>16200</v>
      </c>
      <c r="E75" s="103">
        <f t="shared" si="11"/>
        <v>12960</v>
      </c>
      <c r="F75" s="103">
        <f t="shared" si="11"/>
        <v>9720</v>
      </c>
      <c r="G75" s="103">
        <f t="shared" si="11"/>
        <v>6480</v>
      </c>
      <c r="H75" s="103">
        <f t="shared" si="11"/>
        <v>3240</v>
      </c>
    </row>
    <row r="76" spans="2:8" ht="20" customHeight="1" x14ac:dyDescent="0.2">
      <c r="B76" s="50" t="s">
        <v>105</v>
      </c>
      <c r="C76" s="105">
        <f t="shared" ref="C76:H76" si="12">C72-C74-C75</f>
        <v>0</v>
      </c>
      <c r="D76" s="105">
        <f t="shared" si="12"/>
        <v>62600</v>
      </c>
      <c r="E76" s="105">
        <f>E72-E74-E75</f>
        <v>56460</v>
      </c>
      <c r="F76" s="105">
        <f t="shared" si="12"/>
        <v>79158</v>
      </c>
      <c r="G76" s="105">
        <f t="shared" si="12"/>
        <v>119710.2</v>
      </c>
      <c r="H76" s="105">
        <f t="shared" si="12"/>
        <v>166131.18</v>
      </c>
    </row>
    <row r="77" spans="2:8" ht="20" customHeight="1" x14ac:dyDescent="0.2">
      <c r="C77" s="103"/>
      <c r="D77" s="103"/>
      <c r="E77" s="103"/>
      <c r="F77" s="103"/>
      <c r="G77" s="103"/>
      <c r="H77" s="103"/>
    </row>
    <row r="78" spans="2:8" ht="20" customHeight="1" x14ac:dyDescent="0.2">
      <c r="B78" s="49" t="s">
        <v>14</v>
      </c>
      <c r="C78" s="103">
        <f t="shared" ref="C78:H78" si="13">C76*$C$18</f>
        <v>0</v>
      </c>
      <c r="D78" s="103">
        <f t="shared" si="13"/>
        <v>13772</v>
      </c>
      <c r="E78" s="103">
        <f t="shared" si="13"/>
        <v>12421.2</v>
      </c>
      <c r="F78" s="103">
        <f t="shared" si="13"/>
        <v>17414.759999999998</v>
      </c>
      <c r="G78" s="103">
        <f t="shared" si="13"/>
        <v>26336.243999999999</v>
      </c>
      <c r="H78" s="103">
        <f t="shared" si="13"/>
        <v>36548.859599999996</v>
      </c>
    </row>
    <row r="79" spans="2:8" ht="20" customHeight="1" x14ac:dyDescent="0.2">
      <c r="B79" s="50" t="s">
        <v>106</v>
      </c>
      <c r="C79" s="105">
        <f t="shared" ref="C79" si="14">C76-C78</f>
        <v>0</v>
      </c>
      <c r="D79" s="105">
        <f t="shared" ref="D79:H79" si="15">D76-D78</f>
        <v>48828</v>
      </c>
      <c r="E79" s="105">
        <f>E76-E78</f>
        <v>44038.8</v>
      </c>
      <c r="F79" s="105">
        <f t="shared" si="15"/>
        <v>61743.240000000005</v>
      </c>
      <c r="G79" s="105">
        <f t="shared" si="15"/>
        <v>93373.956000000006</v>
      </c>
      <c r="H79" s="105">
        <f t="shared" si="15"/>
        <v>129582.3204</v>
      </c>
    </row>
    <row r="80" spans="2:8" ht="20" customHeight="1" x14ac:dyDescent="0.2">
      <c r="B80" s="50"/>
      <c r="C80" s="105"/>
      <c r="D80" s="105"/>
      <c r="E80" s="105"/>
      <c r="F80" s="105"/>
      <c r="G80" s="105"/>
      <c r="H80" s="105"/>
    </row>
    <row r="81" spans="2:8" ht="20" customHeight="1" x14ac:dyDescent="0.2">
      <c r="B81" s="49" t="s">
        <v>107</v>
      </c>
      <c r="C81" s="103">
        <f t="shared" ref="C81:H81" si="16">C74</f>
        <v>0</v>
      </c>
      <c r="D81" s="103">
        <f t="shared" si="16"/>
        <v>16200</v>
      </c>
      <c r="E81" s="103">
        <f t="shared" si="16"/>
        <v>14580</v>
      </c>
      <c r="F81" s="103">
        <f t="shared" si="16"/>
        <v>13122</v>
      </c>
      <c r="G81" s="103">
        <f t="shared" si="16"/>
        <v>11809.800000000001</v>
      </c>
      <c r="H81" s="103">
        <f t="shared" si="16"/>
        <v>10628.82</v>
      </c>
    </row>
    <row r="82" spans="2:8" ht="20" customHeight="1" x14ac:dyDescent="0.2">
      <c r="B82" s="49" t="s">
        <v>108</v>
      </c>
      <c r="C82" s="103">
        <f>C178</f>
        <v>0</v>
      </c>
      <c r="D82" s="103">
        <f t="shared" ref="D82:H82" si="17">D178</f>
        <v>7150.6849315068494</v>
      </c>
      <c r="E82" s="103">
        <f t="shared" si="17"/>
        <v>1430.1369863013688</v>
      </c>
      <c r="F82" s="103">
        <f t="shared" si="17"/>
        <v>2860.2739726027394</v>
      </c>
      <c r="G82" s="103">
        <f t="shared" si="17"/>
        <v>5720.5479452054788</v>
      </c>
      <c r="H82" s="103">
        <f t="shared" si="17"/>
        <v>6673.9726027397264</v>
      </c>
    </row>
    <row r="83" spans="2:8" ht="20" customHeight="1" thickBot="1" x14ac:dyDescent="0.25">
      <c r="B83" s="98" t="s">
        <v>109</v>
      </c>
      <c r="C83" s="102">
        <f t="shared" ref="C83:H83" si="18">C79+C81-C82</f>
        <v>0</v>
      </c>
      <c r="D83" s="102">
        <f t="shared" si="18"/>
        <v>57877.315068493153</v>
      </c>
      <c r="E83" s="102">
        <f t="shared" si="18"/>
        <v>57188.663013698635</v>
      </c>
      <c r="F83" s="102">
        <f t="shared" si="18"/>
        <v>72004.966027397269</v>
      </c>
      <c r="G83" s="102">
        <f t="shared" si="18"/>
        <v>99463.208054794522</v>
      </c>
      <c r="H83" s="102">
        <f t="shared" si="18"/>
        <v>133537.16779726028</v>
      </c>
    </row>
    <row r="84" spans="2:8" ht="20" customHeight="1" thickTop="1" x14ac:dyDescent="0.2">
      <c r="B84" s="50"/>
      <c r="C84" s="105"/>
      <c r="D84" s="105"/>
      <c r="E84" s="105"/>
      <c r="F84" s="105"/>
      <c r="G84" s="105"/>
      <c r="H84" s="105"/>
    </row>
    <row r="85" spans="2:8" s="69" customFormat="1" ht="20" customHeight="1" x14ac:dyDescent="0.2">
      <c r="B85" s="87" t="s">
        <v>88</v>
      </c>
      <c r="C85" s="109"/>
      <c r="D85" s="109"/>
      <c r="E85" s="109"/>
      <c r="F85" s="109"/>
      <c r="G85" s="109"/>
      <c r="H85" s="109"/>
    </row>
    <row r="86" spans="2:8" ht="20" customHeight="1" x14ac:dyDescent="0.2">
      <c r="C86" s="103"/>
      <c r="D86" s="103"/>
      <c r="E86" s="103"/>
      <c r="F86" s="103"/>
      <c r="G86" s="103"/>
      <c r="H86" s="103"/>
    </row>
    <row r="87" spans="2:8" ht="20" customHeight="1" x14ac:dyDescent="0.2">
      <c r="B87" s="50" t="s">
        <v>77</v>
      </c>
      <c r="C87" s="103"/>
      <c r="D87" s="103"/>
      <c r="E87" s="103"/>
      <c r="F87" s="103"/>
      <c r="G87" s="103"/>
      <c r="H87" s="103"/>
    </row>
    <row r="88" spans="2:8" ht="20" customHeight="1" x14ac:dyDescent="0.2">
      <c r="B88" s="70" t="s">
        <v>78</v>
      </c>
      <c r="C88" s="111">
        <v>80000</v>
      </c>
      <c r="D88" s="111">
        <v>0</v>
      </c>
      <c r="E88" s="111">
        <v>0</v>
      </c>
      <c r="F88" s="111">
        <v>0</v>
      </c>
      <c r="G88" s="111">
        <v>0</v>
      </c>
      <c r="H88" s="111">
        <v>0</v>
      </c>
    </row>
    <row r="89" spans="2:8" ht="20" customHeight="1" x14ac:dyDescent="0.2">
      <c r="B89" s="70" t="s">
        <v>79</v>
      </c>
      <c r="C89" s="111">
        <v>25000</v>
      </c>
      <c r="D89" s="111">
        <v>0</v>
      </c>
      <c r="E89" s="111">
        <v>0</v>
      </c>
      <c r="F89" s="111">
        <v>0</v>
      </c>
      <c r="G89" s="111">
        <v>0</v>
      </c>
      <c r="H89" s="111">
        <v>0</v>
      </c>
    </row>
    <row r="90" spans="2:8" ht="20" customHeight="1" x14ac:dyDescent="0.2">
      <c r="B90" s="70" t="s">
        <v>80</v>
      </c>
      <c r="C90" s="111">
        <v>20000</v>
      </c>
      <c r="D90" s="111">
        <v>0</v>
      </c>
      <c r="E90" s="111">
        <v>0</v>
      </c>
      <c r="F90" s="111">
        <v>0</v>
      </c>
      <c r="G90" s="111">
        <v>0</v>
      </c>
      <c r="H90" s="111">
        <v>0</v>
      </c>
    </row>
    <row r="91" spans="2:8" ht="20" customHeight="1" x14ac:dyDescent="0.2">
      <c r="B91" s="70" t="s">
        <v>81</v>
      </c>
      <c r="C91" s="111">
        <v>0</v>
      </c>
      <c r="D91" s="111">
        <v>0</v>
      </c>
      <c r="E91" s="111">
        <v>0</v>
      </c>
      <c r="F91" s="111">
        <v>0</v>
      </c>
      <c r="G91" s="111">
        <v>0</v>
      </c>
      <c r="H91" s="111">
        <v>0</v>
      </c>
    </row>
    <row r="92" spans="2:8" ht="20" customHeight="1" x14ac:dyDescent="0.2">
      <c r="B92" s="70" t="s">
        <v>82</v>
      </c>
      <c r="C92" s="111">
        <v>0</v>
      </c>
      <c r="D92" s="111">
        <v>0</v>
      </c>
      <c r="E92" s="111">
        <v>0</v>
      </c>
      <c r="F92" s="111">
        <v>0</v>
      </c>
      <c r="G92" s="111">
        <v>0</v>
      </c>
      <c r="H92" s="111">
        <v>0</v>
      </c>
    </row>
    <row r="93" spans="2:8" ht="20" customHeight="1" x14ac:dyDescent="0.2">
      <c r="B93" s="70"/>
      <c r="C93" s="112"/>
      <c r="D93" s="113"/>
      <c r="E93" s="113"/>
      <c r="F93" s="113"/>
      <c r="G93" s="113"/>
      <c r="H93" s="113"/>
    </row>
    <row r="94" spans="2:8" ht="20" customHeight="1" x14ac:dyDescent="0.2">
      <c r="B94" s="97" t="s">
        <v>83</v>
      </c>
      <c r="C94" s="112"/>
      <c r="D94" s="113"/>
      <c r="E94" s="113"/>
      <c r="F94" s="113"/>
      <c r="G94" s="113"/>
      <c r="H94" s="113"/>
    </row>
    <row r="95" spans="2:8" ht="20" customHeight="1" x14ac:dyDescent="0.2">
      <c r="B95" s="70" t="s">
        <v>84</v>
      </c>
      <c r="C95" s="111">
        <v>10000</v>
      </c>
      <c r="D95" s="111">
        <v>0</v>
      </c>
      <c r="E95" s="111">
        <v>0</v>
      </c>
      <c r="F95" s="111">
        <v>0</v>
      </c>
      <c r="G95" s="111">
        <v>0</v>
      </c>
      <c r="H95" s="111">
        <v>0</v>
      </c>
    </row>
    <row r="96" spans="2:8" ht="20" customHeight="1" x14ac:dyDescent="0.2">
      <c r="B96" s="70" t="s">
        <v>85</v>
      </c>
      <c r="C96" s="111">
        <v>0</v>
      </c>
      <c r="D96" s="111">
        <v>0</v>
      </c>
      <c r="E96" s="111">
        <v>0</v>
      </c>
      <c r="F96" s="111">
        <v>0</v>
      </c>
      <c r="G96" s="111">
        <v>0</v>
      </c>
      <c r="H96" s="111">
        <v>0</v>
      </c>
    </row>
    <row r="97" spans="2:11" ht="20" customHeight="1" x14ac:dyDescent="0.2">
      <c r="B97" s="70" t="s">
        <v>86</v>
      </c>
      <c r="C97" s="111">
        <v>0</v>
      </c>
      <c r="D97" s="111">
        <v>0</v>
      </c>
      <c r="E97" s="111">
        <v>0</v>
      </c>
      <c r="F97" s="111">
        <v>0</v>
      </c>
      <c r="G97" s="111">
        <v>0</v>
      </c>
      <c r="H97" s="111">
        <v>0</v>
      </c>
    </row>
    <row r="98" spans="2:11" ht="20" customHeight="1" x14ac:dyDescent="0.2">
      <c r="B98" s="70"/>
      <c r="C98" s="112"/>
      <c r="D98" s="112"/>
      <c r="E98" s="112"/>
      <c r="F98" s="112"/>
      <c r="G98" s="112"/>
      <c r="H98" s="112"/>
    </row>
    <row r="99" spans="2:11" ht="20" customHeight="1" x14ac:dyDescent="0.2">
      <c r="B99" s="70" t="s">
        <v>152</v>
      </c>
      <c r="C99" s="137">
        <f>$C$22*SUM(C88:C97)</f>
        <v>27000</v>
      </c>
      <c r="D99" s="137">
        <f t="shared" ref="D99:H99" si="19">$C$22*SUM(D88:D97)</f>
        <v>0</v>
      </c>
      <c r="E99" s="137">
        <f t="shared" si="19"/>
        <v>0</v>
      </c>
      <c r="F99" s="137">
        <f t="shared" si="19"/>
        <v>0</v>
      </c>
      <c r="G99" s="137">
        <f t="shared" si="19"/>
        <v>0</v>
      </c>
      <c r="H99" s="137">
        <f t="shared" si="19"/>
        <v>0</v>
      </c>
    </row>
    <row r="100" spans="2:11" ht="20" customHeight="1" x14ac:dyDescent="0.2">
      <c r="B100" s="50"/>
      <c r="C100" s="113"/>
      <c r="D100" s="113"/>
      <c r="E100" s="113"/>
      <c r="F100" s="113"/>
      <c r="G100" s="113"/>
      <c r="H100" s="113"/>
    </row>
    <row r="101" spans="2:11" ht="20" customHeight="1" thickBot="1" x14ac:dyDescent="0.25">
      <c r="B101" s="98" t="s">
        <v>119</v>
      </c>
      <c r="C101" s="114">
        <f>-SUM(C87:C100)</f>
        <v>-162000</v>
      </c>
      <c r="D101" s="114">
        <f t="shared" ref="D101:H101" si="20">-SUM(D87:D100)</f>
        <v>0</v>
      </c>
      <c r="E101" s="114">
        <f t="shared" si="20"/>
        <v>0</v>
      </c>
      <c r="F101" s="114">
        <f t="shared" si="20"/>
        <v>0</v>
      </c>
      <c r="G101" s="114">
        <f t="shared" si="20"/>
        <v>0</v>
      </c>
      <c r="H101" s="114">
        <f t="shared" si="20"/>
        <v>0</v>
      </c>
    </row>
    <row r="102" spans="2:11" ht="20" customHeight="1" thickTop="1" x14ac:dyDescent="0.2">
      <c r="C102" s="113"/>
      <c r="D102" s="113"/>
      <c r="E102" s="113"/>
      <c r="F102" s="113"/>
      <c r="G102" s="113"/>
      <c r="H102" s="113"/>
    </row>
    <row r="103" spans="2:11" s="69" customFormat="1" ht="20" customHeight="1" x14ac:dyDescent="0.2">
      <c r="B103" s="87" t="s">
        <v>9</v>
      </c>
      <c r="C103" s="115"/>
      <c r="D103" s="115"/>
      <c r="E103" s="115"/>
      <c r="F103" s="115"/>
      <c r="G103" s="115"/>
      <c r="H103" s="115"/>
    </row>
    <row r="104" spans="2:11" x14ac:dyDescent="0.2">
      <c r="C104" s="113"/>
      <c r="D104" s="113"/>
      <c r="E104" s="113"/>
      <c r="F104" s="113"/>
      <c r="G104" s="113"/>
      <c r="H104" s="113"/>
    </row>
    <row r="105" spans="2:11" ht="20" customHeight="1" x14ac:dyDescent="0.2">
      <c r="B105" s="50" t="s">
        <v>111</v>
      </c>
      <c r="C105" s="110"/>
      <c r="D105" s="110"/>
      <c r="E105" s="113"/>
      <c r="F105" s="113"/>
      <c r="G105" s="113"/>
      <c r="H105" s="113"/>
    </row>
    <row r="106" spans="2:11" ht="20" customHeight="1" x14ac:dyDescent="0.2">
      <c r="B106" s="49" t="s">
        <v>112</v>
      </c>
      <c r="C106" s="112">
        <f>C168</f>
        <v>0</v>
      </c>
      <c r="D106" s="112">
        <f t="shared" ref="D106:H106" si="21">D168</f>
        <v>32400</v>
      </c>
      <c r="E106" s="112">
        <f t="shared" si="21"/>
        <v>32400</v>
      </c>
      <c r="F106" s="112">
        <f t="shared" si="21"/>
        <v>32400</v>
      </c>
      <c r="G106" s="112">
        <f t="shared" si="21"/>
        <v>32400</v>
      </c>
      <c r="H106" s="112">
        <f t="shared" si="21"/>
        <v>32400</v>
      </c>
      <c r="I106" s="85"/>
      <c r="J106" s="85"/>
    </row>
    <row r="107" spans="2:11" ht="20" customHeight="1" x14ac:dyDescent="0.2">
      <c r="C107" s="113"/>
      <c r="D107" s="113"/>
      <c r="E107" s="113"/>
      <c r="F107" s="113"/>
      <c r="G107" s="113"/>
      <c r="H107" s="113"/>
    </row>
    <row r="108" spans="2:11" ht="20" customHeight="1" thickBot="1" x14ac:dyDescent="0.25">
      <c r="B108" s="98" t="s">
        <v>113</v>
      </c>
      <c r="C108" s="114">
        <f>-SUM(C106:C106)</f>
        <v>0</v>
      </c>
      <c r="D108" s="114">
        <f t="shared" ref="D108:H108" si="22">-SUM(D106:D106)</f>
        <v>-32400</v>
      </c>
      <c r="E108" s="114">
        <f t="shared" si="22"/>
        <v>-32400</v>
      </c>
      <c r="F108" s="114">
        <f t="shared" si="22"/>
        <v>-32400</v>
      </c>
      <c r="G108" s="114">
        <f t="shared" si="22"/>
        <v>-32400</v>
      </c>
      <c r="H108" s="114">
        <f t="shared" si="22"/>
        <v>-32400</v>
      </c>
      <c r="I108" s="86"/>
      <c r="J108" s="86"/>
    </row>
    <row r="109" spans="2:11" ht="20" customHeight="1" thickTop="1" x14ac:dyDescent="0.2">
      <c r="C109" s="113"/>
      <c r="D109" s="113"/>
      <c r="E109" s="113"/>
      <c r="F109" s="113"/>
      <c r="G109" s="113"/>
      <c r="H109" s="113"/>
    </row>
    <row r="110" spans="2:11" s="69" customFormat="1" ht="20" customHeight="1" x14ac:dyDescent="0.2">
      <c r="B110" s="87" t="s">
        <v>114</v>
      </c>
      <c r="C110" s="115"/>
      <c r="D110" s="115"/>
      <c r="E110" s="115"/>
      <c r="F110" s="115"/>
      <c r="G110" s="115"/>
      <c r="H110" s="115"/>
    </row>
    <row r="111" spans="2:11" ht="20" customHeight="1" x14ac:dyDescent="0.2">
      <c r="B111" s="50"/>
      <c r="C111" s="110"/>
      <c r="D111" s="110"/>
      <c r="E111" s="110"/>
      <c r="F111" s="110"/>
      <c r="G111" s="110"/>
      <c r="H111" s="110"/>
      <c r="I111" s="86"/>
      <c r="J111" s="86"/>
      <c r="K111" s="86"/>
    </row>
    <row r="112" spans="2:11" ht="20" customHeight="1" x14ac:dyDescent="0.2">
      <c r="B112" s="49" t="s">
        <v>109</v>
      </c>
      <c r="C112" s="113">
        <f t="shared" ref="C112:H112" si="23">C83</f>
        <v>0</v>
      </c>
      <c r="D112" s="113">
        <f t="shared" si="23"/>
        <v>57877.315068493153</v>
      </c>
      <c r="E112" s="113">
        <f t="shared" si="23"/>
        <v>57188.663013698635</v>
      </c>
      <c r="F112" s="113">
        <f t="shared" si="23"/>
        <v>72004.966027397269</v>
      </c>
      <c r="G112" s="113">
        <f t="shared" si="23"/>
        <v>99463.208054794522</v>
      </c>
      <c r="H112" s="113">
        <f t="shared" si="23"/>
        <v>133537.16779726028</v>
      </c>
      <c r="I112" s="76"/>
      <c r="J112" s="76"/>
      <c r="K112" s="86"/>
    </row>
    <row r="113" spans="2:11" ht="20" customHeight="1" x14ac:dyDescent="0.2">
      <c r="B113" s="49" t="s">
        <v>110</v>
      </c>
      <c r="C113" s="113">
        <f t="shared" ref="C113:H113" si="24">C101</f>
        <v>-162000</v>
      </c>
      <c r="D113" s="113">
        <f t="shared" si="24"/>
        <v>0</v>
      </c>
      <c r="E113" s="113">
        <f t="shared" si="24"/>
        <v>0</v>
      </c>
      <c r="F113" s="113">
        <f t="shared" si="24"/>
        <v>0</v>
      </c>
      <c r="G113" s="113">
        <f t="shared" si="24"/>
        <v>0</v>
      </c>
      <c r="H113" s="113">
        <f t="shared" si="24"/>
        <v>0</v>
      </c>
      <c r="I113" s="76"/>
      <c r="J113" s="76"/>
      <c r="K113" s="86"/>
    </row>
    <row r="114" spans="2:11" ht="23" customHeight="1" x14ac:dyDescent="0.2">
      <c r="B114" s="49" t="s">
        <v>113</v>
      </c>
      <c r="C114" s="113">
        <f>C108</f>
        <v>0</v>
      </c>
      <c r="D114" s="113">
        <f t="shared" ref="D114:H114" si="25">D108</f>
        <v>-32400</v>
      </c>
      <c r="E114" s="113">
        <f t="shared" si="25"/>
        <v>-32400</v>
      </c>
      <c r="F114" s="113">
        <f t="shared" si="25"/>
        <v>-32400</v>
      </c>
      <c r="G114" s="113">
        <f t="shared" si="25"/>
        <v>-32400</v>
      </c>
      <c r="H114" s="113">
        <f t="shared" si="25"/>
        <v>-32400</v>
      </c>
      <c r="I114" s="86" t="s">
        <v>153</v>
      </c>
      <c r="J114" s="76"/>
      <c r="K114" s="51"/>
    </row>
    <row r="115" spans="2:11" ht="20" customHeight="1" thickBot="1" x14ac:dyDescent="0.25">
      <c r="B115" s="116" t="s">
        <v>114</v>
      </c>
      <c r="C115" s="117">
        <f t="shared" ref="C115" si="26">C112+C113+C114</f>
        <v>-162000</v>
      </c>
      <c r="D115" s="117">
        <f>D112+D113+D114</f>
        <v>25477.315068493153</v>
      </c>
      <c r="E115" s="117">
        <f t="shared" ref="E115" si="27">E112+E113+E114</f>
        <v>24788.663013698635</v>
      </c>
      <c r="F115" s="117">
        <f t="shared" ref="F115" si="28">F112+F113+F114</f>
        <v>39604.966027397269</v>
      </c>
      <c r="G115" s="117">
        <f t="shared" ref="G115" si="29">G112+G113+G114</f>
        <v>67063.208054794522</v>
      </c>
      <c r="H115" s="117">
        <f t="shared" ref="H115" si="30">H112+H113+H114</f>
        <v>101137.16779726028</v>
      </c>
      <c r="I115" s="117">
        <f>H115*(1+C35)/(C34-C35)</f>
        <v>2123880.5237424658</v>
      </c>
      <c r="J115" s="86"/>
      <c r="K115" s="86"/>
    </row>
    <row r="116" spans="2:11" ht="20" customHeight="1" thickTop="1" x14ac:dyDescent="0.2">
      <c r="B116" s="50"/>
      <c r="C116" s="91"/>
      <c r="D116" s="91"/>
      <c r="E116" s="86"/>
      <c r="F116" s="86"/>
      <c r="G116" s="86"/>
      <c r="H116" s="86"/>
      <c r="I116" s="105"/>
      <c r="J116" s="86"/>
    </row>
    <row r="117" spans="2:11" ht="20" customHeight="1" x14ac:dyDescent="0.2">
      <c r="B117" s="21" t="s">
        <v>115</v>
      </c>
      <c r="C117" s="118">
        <f>C115</f>
        <v>-162000</v>
      </c>
      <c r="D117" s="118">
        <f>C117+D115</f>
        <v>-136522.68493150684</v>
      </c>
      <c r="E117" s="118">
        <f t="shared" ref="E117:H117" si="31">D117+E115</f>
        <v>-111734.0219178082</v>
      </c>
      <c r="F117" s="118">
        <f t="shared" si="31"/>
        <v>-72129.055890410935</v>
      </c>
      <c r="G117" s="118">
        <f t="shared" si="31"/>
        <v>-5065.8478356164123</v>
      </c>
      <c r="H117" s="118">
        <f t="shared" si="31"/>
        <v>96071.319961643865</v>
      </c>
      <c r="I117" s="118">
        <f>I115+H117</f>
        <v>2219951.8437041095</v>
      </c>
      <c r="J117" s="86"/>
      <c r="K117" s="86"/>
    </row>
    <row r="118" spans="2:11" ht="20" customHeight="1" x14ac:dyDescent="0.2">
      <c r="B118" s="92"/>
      <c r="C118" s="93"/>
      <c r="D118" s="93"/>
      <c r="E118" s="86"/>
      <c r="F118" s="86"/>
      <c r="G118" s="86"/>
      <c r="H118" s="86"/>
      <c r="I118" s="86"/>
      <c r="J118" s="86"/>
      <c r="K118" s="86"/>
    </row>
    <row r="119" spans="2:11" ht="20" customHeight="1" x14ac:dyDescent="0.2">
      <c r="B119" s="92"/>
      <c r="C119" s="93"/>
      <c r="D119" s="93"/>
      <c r="E119" s="86"/>
      <c r="F119" s="86"/>
      <c r="G119" s="86"/>
      <c r="H119" s="86"/>
      <c r="I119" s="86"/>
      <c r="J119" s="86"/>
      <c r="K119" s="86"/>
    </row>
    <row r="120" spans="2:11" ht="20" customHeight="1" x14ac:dyDescent="0.2">
      <c r="B120" s="92"/>
      <c r="C120" s="93"/>
      <c r="D120" s="93"/>
      <c r="E120" s="86"/>
      <c r="F120" s="86"/>
      <c r="G120" s="86"/>
      <c r="H120" s="86"/>
      <c r="I120" s="86"/>
      <c r="J120" s="86"/>
      <c r="K120" s="86"/>
    </row>
    <row r="121" spans="2:11" ht="20" customHeight="1" x14ac:dyDescent="0.2">
      <c r="B121" s="92"/>
      <c r="C121" s="93"/>
      <c r="D121" s="93"/>
      <c r="E121" s="86"/>
      <c r="F121" s="86"/>
      <c r="G121" s="86"/>
      <c r="H121" s="86"/>
      <c r="I121" s="86"/>
      <c r="J121" s="86"/>
      <c r="K121" s="86"/>
    </row>
    <row r="122" spans="2:11" ht="20" customHeight="1" x14ac:dyDescent="0.2">
      <c r="B122" s="92"/>
      <c r="C122" s="93"/>
      <c r="D122" s="93"/>
      <c r="E122" s="86"/>
      <c r="F122" s="86"/>
      <c r="G122" s="86"/>
      <c r="H122" s="86"/>
      <c r="I122" s="86"/>
      <c r="J122" s="86"/>
      <c r="K122" s="86"/>
    </row>
    <row r="123" spans="2:11" ht="20" customHeight="1" x14ac:dyDescent="0.2">
      <c r="B123" s="92"/>
      <c r="C123" s="93"/>
      <c r="D123" s="93"/>
      <c r="E123" s="86"/>
      <c r="F123" s="86"/>
      <c r="G123" s="86"/>
      <c r="H123" s="86"/>
      <c r="I123" s="86"/>
      <c r="J123" s="86"/>
      <c r="K123" s="86"/>
    </row>
    <row r="124" spans="2:11" ht="20" customHeight="1" x14ac:dyDescent="0.2">
      <c r="B124" s="92"/>
      <c r="C124" s="93"/>
      <c r="D124" s="93"/>
      <c r="E124" s="86"/>
      <c r="F124" s="86"/>
      <c r="G124" s="86"/>
      <c r="H124" s="86"/>
      <c r="I124" s="86"/>
      <c r="J124" s="86"/>
      <c r="K124" s="86"/>
    </row>
    <row r="125" spans="2:11" ht="20" customHeight="1" x14ac:dyDescent="0.2">
      <c r="B125" s="92"/>
      <c r="C125" s="93"/>
      <c r="D125" s="93"/>
      <c r="E125" s="86"/>
      <c r="F125" s="86"/>
      <c r="G125" s="86"/>
      <c r="H125" s="86"/>
      <c r="I125" s="86"/>
      <c r="J125" s="86"/>
      <c r="K125" s="86"/>
    </row>
    <row r="126" spans="2:11" ht="20" customHeight="1" x14ac:dyDescent="0.2">
      <c r="B126" s="92"/>
      <c r="C126" s="93"/>
      <c r="D126" s="93"/>
      <c r="E126" s="86"/>
      <c r="F126" s="86"/>
      <c r="G126" s="86"/>
      <c r="H126" s="86"/>
      <c r="I126" s="86"/>
      <c r="J126" s="86"/>
      <c r="K126" s="86"/>
    </row>
    <row r="127" spans="2:11" ht="20" customHeight="1" x14ac:dyDescent="0.2">
      <c r="B127" s="92"/>
      <c r="C127" s="93"/>
      <c r="D127" s="93"/>
      <c r="E127" s="86"/>
      <c r="F127" s="86"/>
      <c r="G127" s="86"/>
      <c r="H127" s="86"/>
      <c r="I127" s="86"/>
      <c r="J127" s="86"/>
      <c r="K127" s="86"/>
    </row>
    <row r="128" spans="2:11" ht="20" customHeight="1" x14ac:dyDescent="0.2">
      <c r="B128" s="92"/>
      <c r="C128" s="93"/>
      <c r="D128" s="93"/>
      <c r="E128" s="86"/>
      <c r="F128" s="86"/>
      <c r="G128" s="86"/>
      <c r="H128" s="86"/>
      <c r="I128" s="86"/>
      <c r="J128" s="86"/>
      <c r="K128" s="86"/>
    </row>
    <row r="129" spans="2:12" ht="20" customHeight="1" x14ac:dyDescent="0.2">
      <c r="B129" s="92"/>
      <c r="C129" s="93"/>
      <c r="D129" s="93"/>
      <c r="E129" s="86"/>
      <c r="F129" s="86"/>
      <c r="G129" s="86"/>
      <c r="H129" s="86"/>
      <c r="I129" s="86"/>
      <c r="J129" s="86"/>
      <c r="K129" s="86"/>
    </row>
    <row r="130" spans="2:12" ht="20" customHeight="1" x14ac:dyDescent="0.2">
      <c r="B130" s="92"/>
      <c r="C130" s="93"/>
      <c r="D130" s="93"/>
      <c r="E130" s="86"/>
      <c r="F130" s="86"/>
      <c r="G130" s="86"/>
      <c r="H130" s="86"/>
      <c r="I130" s="86"/>
      <c r="J130" s="86"/>
      <c r="K130" s="86"/>
    </row>
    <row r="131" spans="2:12" ht="20" customHeight="1" x14ac:dyDescent="0.2">
      <c r="B131" s="92"/>
      <c r="C131" s="93"/>
      <c r="D131" s="93"/>
      <c r="E131" s="86"/>
      <c r="F131" s="86"/>
      <c r="G131" s="86"/>
      <c r="H131" s="86"/>
      <c r="I131" s="86"/>
      <c r="J131" s="86"/>
      <c r="K131" s="86"/>
    </row>
    <row r="132" spans="2:12" ht="20" customHeight="1" x14ac:dyDescent="0.2">
      <c r="B132" s="92"/>
      <c r="C132" s="93"/>
      <c r="D132" s="93"/>
      <c r="E132" s="86"/>
      <c r="F132" s="86"/>
      <c r="G132" s="86"/>
      <c r="H132" s="86"/>
      <c r="I132" s="86"/>
      <c r="J132" s="86"/>
      <c r="K132" s="86"/>
    </row>
    <row r="133" spans="2:12" ht="20" customHeight="1" x14ac:dyDescent="0.2">
      <c r="B133" s="92"/>
      <c r="C133" s="93"/>
      <c r="D133" s="93"/>
      <c r="E133" s="86"/>
      <c r="F133" s="86"/>
      <c r="G133" s="86"/>
      <c r="H133" s="86"/>
      <c r="I133" s="86"/>
      <c r="J133" s="86"/>
      <c r="K133" s="86"/>
    </row>
    <row r="134" spans="2:12" ht="20" customHeight="1" x14ac:dyDescent="0.2">
      <c r="B134" s="92"/>
      <c r="C134" s="93"/>
      <c r="D134" s="93"/>
      <c r="E134" s="86"/>
      <c r="F134" s="86"/>
      <c r="G134" s="86"/>
      <c r="H134" s="86"/>
      <c r="I134" s="86"/>
      <c r="J134" s="86"/>
      <c r="K134" s="86"/>
    </row>
    <row r="135" spans="2:12" ht="20" customHeight="1" x14ac:dyDescent="0.2">
      <c r="B135" s="92"/>
      <c r="C135" s="93"/>
      <c r="D135" s="93"/>
      <c r="E135" s="86"/>
      <c r="F135" s="86"/>
      <c r="G135" s="86"/>
      <c r="H135" s="86"/>
      <c r="I135" s="86"/>
      <c r="J135" s="86"/>
      <c r="K135" s="86"/>
    </row>
    <row r="136" spans="2:12" ht="20" customHeight="1" x14ac:dyDescent="0.2">
      <c r="B136" s="92"/>
      <c r="C136" s="93"/>
      <c r="D136" s="93"/>
      <c r="E136" s="86"/>
      <c r="F136" s="86"/>
      <c r="G136" s="86"/>
      <c r="H136" s="86"/>
      <c r="I136" s="86"/>
      <c r="J136" s="86"/>
      <c r="K136" s="86"/>
    </row>
    <row r="137" spans="2:12" ht="20" customHeight="1" x14ac:dyDescent="0.2">
      <c r="B137" s="92"/>
      <c r="C137" s="93"/>
      <c r="D137" s="93"/>
      <c r="E137" s="86"/>
      <c r="F137" s="86"/>
      <c r="G137" s="86"/>
      <c r="H137" s="86"/>
      <c r="I137" s="86"/>
      <c r="J137" s="86"/>
      <c r="K137" s="86"/>
    </row>
    <row r="138" spans="2:12" ht="20" customHeight="1" x14ac:dyDescent="0.2">
      <c r="B138" s="92"/>
      <c r="C138" s="93"/>
      <c r="D138" s="93"/>
      <c r="E138" s="86"/>
      <c r="F138" s="86"/>
      <c r="G138" s="86"/>
      <c r="H138" s="86"/>
      <c r="I138" s="86"/>
      <c r="J138" s="86"/>
      <c r="K138" s="86"/>
    </row>
    <row r="139" spans="2:12" ht="20" customHeight="1" x14ac:dyDescent="0.2">
      <c r="B139" s="92"/>
      <c r="C139" s="93"/>
      <c r="D139" s="93"/>
      <c r="E139" s="86"/>
      <c r="F139" s="86"/>
      <c r="G139" s="86"/>
      <c r="H139" s="86"/>
      <c r="I139" s="86"/>
      <c r="J139" s="86"/>
      <c r="K139" s="86"/>
    </row>
    <row r="140" spans="2:12" ht="20" customHeight="1" x14ac:dyDescent="0.2">
      <c r="B140" s="92"/>
      <c r="C140" s="93"/>
      <c r="D140" s="93"/>
      <c r="E140" s="86"/>
      <c r="F140" s="86"/>
      <c r="G140" s="86"/>
      <c r="H140" s="86"/>
      <c r="I140" s="86"/>
      <c r="J140" s="86"/>
      <c r="K140" s="86"/>
    </row>
    <row r="141" spans="2:12" s="58" customFormat="1" ht="20" customHeight="1" x14ac:dyDescent="0.2">
      <c r="B141" s="61" t="s">
        <v>135</v>
      </c>
      <c r="C141" s="64" t="s">
        <v>4</v>
      </c>
      <c r="D141" s="65" t="s">
        <v>35</v>
      </c>
      <c r="E141" s="65" t="s">
        <v>36</v>
      </c>
      <c r="F141" s="65" t="s">
        <v>37</v>
      </c>
      <c r="G141" s="65" t="s">
        <v>38</v>
      </c>
      <c r="H141" s="65" t="s">
        <v>39</v>
      </c>
      <c r="I141" s="65" t="s">
        <v>5</v>
      </c>
      <c r="L141" s="73"/>
    </row>
    <row r="142" spans="2:12" s="31" customFormat="1" ht="20" customHeight="1" x14ac:dyDescent="0.2">
      <c r="B142" s="62"/>
      <c r="C142" s="128"/>
      <c r="D142" s="129"/>
      <c r="E142" s="129"/>
      <c r="F142" s="129"/>
      <c r="G142" s="129"/>
      <c r="H142" s="129"/>
      <c r="I142" s="128"/>
      <c r="L142" s="82"/>
    </row>
    <row r="143" spans="2:12" ht="20" customHeight="1" x14ac:dyDescent="0.2">
      <c r="B143" s="130" t="s">
        <v>136</v>
      </c>
      <c r="C143" s="138">
        <f t="shared" ref="C143:I143" si="32">C13</f>
        <v>0</v>
      </c>
      <c r="D143" s="138">
        <f t="shared" si="32"/>
        <v>1</v>
      </c>
      <c r="E143" s="138">
        <f t="shared" si="32"/>
        <v>2</v>
      </c>
      <c r="F143" s="138">
        <f t="shared" si="32"/>
        <v>3</v>
      </c>
      <c r="G143" s="138">
        <f t="shared" si="32"/>
        <v>4</v>
      </c>
      <c r="H143" s="138">
        <f t="shared" si="32"/>
        <v>5</v>
      </c>
      <c r="I143" s="138">
        <f t="shared" si="32"/>
        <v>6</v>
      </c>
      <c r="J143" s="90"/>
    </row>
    <row r="144" spans="2:12" ht="20" customHeight="1" x14ac:dyDescent="0.2">
      <c r="B144" s="49" t="s">
        <v>114</v>
      </c>
      <c r="C144" s="103">
        <f t="shared" ref="C144:I144" si="33">C115</f>
        <v>-162000</v>
      </c>
      <c r="D144" s="103">
        <f t="shared" si="33"/>
        <v>25477.315068493153</v>
      </c>
      <c r="E144" s="103">
        <f t="shared" si="33"/>
        <v>24788.663013698635</v>
      </c>
      <c r="F144" s="103">
        <f t="shared" si="33"/>
        <v>39604.966027397269</v>
      </c>
      <c r="G144" s="103">
        <f t="shared" si="33"/>
        <v>67063.208054794522</v>
      </c>
      <c r="H144" s="103">
        <f t="shared" si="33"/>
        <v>101137.16779726028</v>
      </c>
      <c r="I144" s="103">
        <f t="shared" si="33"/>
        <v>2123880.5237424658</v>
      </c>
      <c r="J144" s="90"/>
      <c r="K144" s="90"/>
    </row>
    <row r="145" spans="2:12" ht="20" customHeight="1" x14ac:dyDescent="0.2">
      <c r="B145" s="49" t="s">
        <v>137</v>
      </c>
      <c r="C145" s="103">
        <f>C144/((1+$C$34)^C143)</f>
        <v>-162000</v>
      </c>
      <c r="D145" s="103">
        <f>D144/((1+$C$34)^D143)</f>
        <v>23161.195516811957</v>
      </c>
      <c r="E145" s="103">
        <f>E144/((1+$C$34)^E143)</f>
        <v>20486.49835842862</v>
      </c>
      <c r="F145" s="103">
        <f>F144/((1+$C$34)^F143)</f>
        <v>29755.797165587723</v>
      </c>
      <c r="G145" s="103">
        <f>G144/((1+$C$34)^G143)</f>
        <v>45805.073461371838</v>
      </c>
      <c r="H145" s="103">
        <f>H144/((1+$C$34)^H143)</f>
        <v>62798.224039130611</v>
      </c>
      <c r="I145" s="103">
        <f>I144/((1+$C$34)^I143)</f>
        <v>1198875.1862015843</v>
      </c>
      <c r="J145" s="90"/>
      <c r="K145" s="90"/>
    </row>
    <row r="146" spans="2:12" ht="20" customHeight="1" thickBot="1" x14ac:dyDescent="0.25">
      <c r="B146" s="98" t="s">
        <v>138</v>
      </c>
      <c r="C146" s="102">
        <f>C145</f>
        <v>-162000</v>
      </c>
      <c r="D146" s="102">
        <f>C146+D145</f>
        <v>-138838.80448318805</v>
      </c>
      <c r="E146" s="102">
        <f t="shared" ref="E146:I146" si="34">D146+E145</f>
        <v>-118352.30612475943</v>
      </c>
      <c r="F146" s="102">
        <f t="shared" si="34"/>
        <v>-88596.508959171711</v>
      </c>
      <c r="G146" s="102">
        <f t="shared" si="34"/>
        <v>-42791.435497799874</v>
      </c>
      <c r="H146" s="102">
        <f t="shared" si="34"/>
        <v>20006.788541330738</v>
      </c>
      <c r="I146" s="102">
        <f t="shared" si="34"/>
        <v>1218881.974742915</v>
      </c>
      <c r="J146" s="90"/>
    </row>
    <row r="147" spans="2:12" ht="20" customHeight="1" thickTop="1" x14ac:dyDescent="0.2">
      <c r="E147" s="90"/>
      <c r="F147" s="90"/>
      <c r="G147" s="90"/>
      <c r="H147" s="90"/>
      <c r="I147" s="90"/>
      <c r="J147" s="90"/>
    </row>
    <row r="148" spans="2:12" ht="20" customHeight="1" x14ac:dyDescent="0.2">
      <c r="B148" s="131" t="s">
        <v>139</v>
      </c>
      <c r="C148" s="176">
        <f>NPV(C34,D144:I144)+C144</f>
        <v>1218881.974742915</v>
      </c>
      <c r="E148" s="90"/>
      <c r="F148" s="90"/>
      <c r="G148" s="90"/>
      <c r="H148" s="90"/>
      <c r="I148" s="90"/>
      <c r="J148" s="90"/>
      <c r="K148" s="90"/>
    </row>
    <row r="149" spans="2:12" ht="20" customHeight="1" x14ac:dyDescent="0.2">
      <c r="B149" s="131"/>
    </row>
    <row r="150" spans="2:12" ht="20" customHeight="1" x14ac:dyDescent="0.2">
      <c r="B150" s="131" t="s">
        <v>140</v>
      </c>
      <c r="C150" s="133">
        <f>IRR(C144:I144)</f>
        <v>0.63730727081449978</v>
      </c>
      <c r="D150" s="50"/>
    </row>
    <row r="151" spans="2:12" ht="20" customHeight="1" x14ac:dyDescent="0.2">
      <c r="B151" s="131"/>
      <c r="E151" s="76"/>
      <c r="F151" s="76"/>
      <c r="G151" s="76"/>
      <c r="H151" s="76"/>
      <c r="I151" s="76"/>
      <c r="J151" s="76"/>
      <c r="K151" s="86"/>
    </row>
    <row r="152" spans="2:12" ht="20" customHeight="1" x14ac:dyDescent="0.2">
      <c r="B152" s="131" t="s">
        <v>54</v>
      </c>
      <c r="C152" s="139" t="str" cm="1">
        <f t="array" ref="C152">ROUND(IFERROR(COUNTIF(D146:I146,"&lt;"&amp;0)+INDEX(D152:I152,,COUNTIF(D146:I146,"&lt;"&amp;0)+1),"&gt; Nil"),2) &amp;" years"</f>
        <v>4.32 years</v>
      </c>
      <c r="D152" s="49" t="str">
        <f>IF(D146&lt;0," - ",D146/D145)</f>
        <v xml:space="preserve"> - </v>
      </c>
      <c r="E152" s="49" t="str">
        <f t="shared" ref="E152:I152" si="35">IF(E146&lt;0," - ",E146/E145)</f>
        <v xml:space="preserve"> - </v>
      </c>
      <c r="F152" s="49" t="str">
        <f t="shared" si="35"/>
        <v xml:space="preserve"> - </v>
      </c>
      <c r="G152" s="49" t="str">
        <f t="shared" si="35"/>
        <v xml:space="preserve"> - </v>
      </c>
      <c r="H152" s="49">
        <f t="shared" si="35"/>
        <v>0.31858844493538824</v>
      </c>
      <c r="I152" s="49">
        <f t="shared" si="35"/>
        <v>1.0166879661632822</v>
      </c>
      <c r="J152" s="76"/>
    </row>
    <row r="153" spans="2:12" ht="20" customHeight="1" x14ac:dyDescent="0.2">
      <c r="B153" s="131"/>
      <c r="E153" s="76"/>
      <c r="F153" s="76"/>
      <c r="G153" s="76"/>
      <c r="H153" s="76"/>
      <c r="I153" s="76"/>
      <c r="J153" s="76"/>
    </row>
    <row r="154" spans="2:12" ht="20" customHeight="1" x14ac:dyDescent="0.2">
      <c r="B154" s="132" t="s">
        <v>141</v>
      </c>
      <c r="C154" s="133">
        <f>ABS(C148/SUM(C101:H101))-1</f>
        <v>6.5239628070550308</v>
      </c>
      <c r="E154" s="90"/>
      <c r="F154" s="90"/>
      <c r="G154" s="90"/>
      <c r="H154" s="90"/>
      <c r="I154" s="90"/>
      <c r="J154" s="90"/>
    </row>
    <row r="155" spans="2:12" ht="20" customHeight="1" x14ac:dyDescent="0.2">
      <c r="B155" s="92"/>
      <c r="C155" s="93"/>
      <c r="D155" s="93"/>
      <c r="E155" s="86"/>
      <c r="F155" s="86"/>
      <c r="G155" s="86"/>
      <c r="H155" s="86"/>
      <c r="I155" s="86"/>
      <c r="J155" s="86"/>
      <c r="K155" s="86"/>
    </row>
    <row r="156" spans="2:12" ht="20" customHeight="1" x14ac:dyDescent="0.2">
      <c r="B156" s="92"/>
      <c r="C156" s="93"/>
      <c r="D156" s="93"/>
      <c r="E156" s="86"/>
      <c r="F156" s="86"/>
      <c r="G156" s="86"/>
      <c r="H156" s="86"/>
      <c r="I156" s="86"/>
      <c r="J156" s="86"/>
      <c r="K156" s="86"/>
    </row>
    <row r="157" spans="2:12" s="58" customFormat="1" ht="20" customHeight="1" x14ac:dyDescent="0.2">
      <c r="B157" s="61" t="s">
        <v>118</v>
      </c>
      <c r="C157" s="64" t="s">
        <v>4</v>
      </c>
      <c r="D157" s="65" t="s">
        <v>35</v>
      </c>
      <c r="E157" s="65" t="s">
        <v>36</v>
      </c>
      <c r="F157" s="65" t="s">
        <v>37</v>
      </c>
      <c r="G157" s="65" t="s">
        <v>38</v>
      </c>
      <c r="H157" s="65" t="s">
        <v>39</v>
      </c>
      <c r="I157" s="65" t="s">
        <v>5</v>
      </c>
      <c r="L157" s="73"/>
    </row>
    <row r="158" spans="2:12" ht="20" customHeight="1" x14ac:dyDescent="0.2">
      <c r="B158" s="92"/>
      <c r="C158" s="93"/>
      <c r="D158" s="93"/>
      <c r="E158" s="86"/>
      <c r="F158" s="86"/>
      <c r="G158" s="86"/>
      <c r="H158" s="86"/>
      <c r="I158" s="86"/>
      <c r="J158" s="86"/>
      <c r="K158" s="86"/>
    </row>
    <row r="159" spans="2:12" s="89" customFormat="1" ht="20" customHeight="1" x14ac:dyDescent="0.2">
      <c r="B159" s="123" t="s">
        <v>120</v>
      </c>
      <c r="C159" s="124"/>
      <c r="D159" s="124"/>
      <c r="E159" s="125"/>
      <c r="F159" s="125"/>
      <c r="G159" s="125"/>
      <c r="H159" s="125"/>
      <c r="I159" s="125"/>
      <c r="J159" s="125"/>
      <c r="K159" s="125"/>
    </row>
    <row r="160" spans="2:12" ht="20" customHeight="1" x14ac:dyDescent="0.2">
      <c r="B160" s="49" t="s">
        <v>121</v>
      </c>
      <c r="C160" s="85">
        <v>0</v>
      </c>
      <c r="D160" s="90">
        <f>C163</f>
        <v>162000</v>
      </c>
      <c r="E160" s="90">
        <f t="shared" ref="E160" si="36">D163</f>
        <v>145800</v>
      </c>
      <c r="F160" s="90">
        <f t="shared" ref="F160" si="37">E163</f>
        <v>131220</v>
      </c>
      <c r="G160" s="90">
        <f t="shared" ref="G160" si="38">F163</f>
        <v>118098</v>
      </c>
      <c r="H160" s="90">
        <f t="shared" ref="H160" si="39">G163</f>
        <v>106288.2</v>
      </c>
      <c r="I160" s="90">
        <f>H163</f>
        <v>95659.38</v>
      </c>
      <c r="J160" s="86"/>
      <c r="K160" s="86"/>
    </row>
    <row r="161" spans="2:12" ht="20" customHeight="1" x14ac:dyDescent="0.2">
      <c r="B161" s="49" t="s">
        <v>122</v>
      </c>
      <c r="C161" s="76">
        <f t="shared" ref="C161:H161" si="40">-C101</f>
        <v>162000</v>
      </c>
      <c r="D161" s="76">
        <f>-D101</f>
        <v>0</v>
      </c>
      <c r="E161" s="76">
        <f t="shared" si="40"/>
        <v>0</v>
      </c>
      <c r="F161" s="76">
        <f t="shared" si="40"/>
        <v>0</v>
      </c>
      <c r="G161" s="76">
        <f t="shared" si="40"/>
        <v>0</v>
      </c>
      <c r="H161" s="76">
        <f t="shared" si="40"/>
        <v>0</v>
      </c>
      <c r="I161" s="50"/>
      <c r="J161" s="86"/>
      <c r="K161" s="86"/>
    </row>
    <row r="162" spans="2:12" ht="20" customHeight="1" x14ac:dyDescent="0.2">
      <c r="B162" s="49" t="s">
        <v>123</v>
      </c>
      <c r="C162" s="90">
        <v>0</v>
      </c>
      <c r="D162" s="90">
        <f>D160*$C$19</f>
        <v>16200</v>
      </c>
      <c r="E162" s="90">
        <f>E160*$C$19</f>
        <v>14580</v>
      </c>
      <c r="F162" s="90">
        <f>F160*$C$19</f>
        <v>13122</v>
      </c>
      <c r="G162" s="90">
        <f>G160*$C$19</f>
        <v>11809.800000000001</v>
      </c>
      <c r="H162" s="90">
        <f>H160*$C$19</f>
        <v>10628.82</v>
      </c>
      <c r="J162" s="86"/>
      <c r="K162" s="86"/>
    </row>
    <row r="163" spans="2:12" ht="20" customHeight="1" thickBot="1" x14ac:dyDescent="0.25">
      <c r="B163" s="99" t="s">
        <v>125</v>
      </c>
      <c r="C163" s="126">
        <f t="shared" ref="C163:H163" si="41">C160+C161-C162</f>
        <v>162000</v>
      </c>
      <c r="D163" s="126">
        <f>D160+D161-D162</f>
        <v>145800</v>
      </c>
      <c r="E163" s="126">
        <f t="shared" si="41"/>
        <v>131220</v>
      </c>
      <c r="F163" s="126">
        <f t="shared" si="41"/>
        <v>118098</v>
      </c>
      <c r="G163" s="126">
        <f t="shared" si="41"/>
        <v>106288.2</v>
      </c>
      <c r="H163" s="126">
        <f t="shared" si="41"/>
        <v>95659.38</v>
      </c>
      <c r="J163" s="86"/>
      <c r="K163" s="86"/>
    </row>
    <row r="164" spans="2:12" ht="20" customHeight="1" thickTop="1" x14ac:dyDescent="0.2">
      <c r="B164" s="50"/>
      <c r="C164" s="90"/>
      <c r="D164" s="90"/>
      <c r="E164" s="90"/>
      <c r="F164" s="90"/>
      <c r="G164" s="90"/>
      <c r="H164" s="90"/>
      <c r="J164" s="86"/>
      <c r="K164" s="86"/>
    </row>
    <row r="165" spans="2:12" ht="20" customHeight="1" x14ac:dyDescent="0.2">
      <c r="B165" s="12" t="s">
        <v>126</v>
      </c>
      <c r="C165" s="90"/>
      <c r="D165" s="90"/>
      <c r="E165" s="90"/>
      <c r="F165" s="90"/>
      <c r="G165" s="90"/>
      <c r="H165" s="90"/>
      <c r="J165" s="86"/>
      <c r="K165" s="86"/>
    </row>
    <row r="166" spans="2:12" ht="20" customHeight="1" x14ac:dyDescent="0.2">
      <c r="B166" s="49" t="s">
        <v>127</v>
      </c>
      <c r="C166" s="85">
        <v>0</v>
      </c>
      <c r="D166" s="90">
        <f>C169</f>
        <v>162000</v>
      </c>
      <c r="E166" s="90">
        <f t="shared" ref="E166" si="42">D169</f>
        <v>129600</v>
      </c>
      <c r="F166" s="90">
        <f t="shared" ref="F166" si="43">E169</f>
        <v>97200</v>
      </c>
      <c r="G166" s="90">
        <f t="shared" ref="G166" si="44">F169</f>
        <v>64800</v>
      </c>
      <c r="H166" s="90">
        <f t="shared" ref="H166" si="45">G169</f>
        <v>32400</v>
      </c>
      <c r="I166" s="90">
        <f>H169</f>
        <v>0</v>
      </c>
      <c r="J166" s="86"/>
      <c r="K166" s="86"/>
    </row>
    <row r="167" spans="2:12" ht="20" customHeight="1" x14ac:dyDescent="0.2">
      <c r="B167" s="49" t="s">
        <v>128</v>
      </c>
      <c r="C167" s="85">
        <f t="shared" ref="C167:H167" si="46">C161</f>
        <v>162000</v>
      </c>
      <c r="D167" s="90">
        <f t="shared" si="46"/>
        <v>0</v>
      </c>
      <c r="E167" s="90">
        <f t="shared" si="46"/>
        <v>0</v>
      </c>
      <c r="F167" s="90">
        <f t="shared" si="46"/>
        <v>0</v>
      </c>
      <c r="G167" s="90">
        <f t="shared" si="46"/>
        <v>0</v>
      </c>
      <c r="H167" s="90">
        <f t="shared" si="46"/>
        <v>0</v>
      </c>
      <c r="I167" s="90"/>
      <c r="J167" s="86"/>
      <c r="K167" s="86"/>
    </row>
    <row r="168" spans="2:12" ht="20" customHeight="1" x14ac:dyDescent="0.2">
      <c r="B168" s="49" t="s">
        <v>112</v>
      </c>
      <c r="C168" s="85">
        <v>0</v>
      </c>
      <c r="D168" s="90">
        <f>$C$167*$C$31</f>
        <v>32400</v>
      </c>
      <c r="E168" s="90">
        <f>$C$167*$C$31</f>
        <v>32400</v>
      </c>
      <c r="F168" s="90">
        <f>$C$167*$C$31</f>
        <v>32400</v>
      </c>
      <c r="G168" s="90">
        <f>$C$167*$C$31</f>
        <v>32400</v>
      </c>
      <c r="H168" s="90">
        <f>$C$167*$C$31</f>
        <v>32400</v>
      </c>
      <c r="J168" s="86"/>
      <c r="K168" s="86"/>
    </row>
    <row r="169" spans="2:12" ht="20" customHeight="1" thickBot="1" x14ac:dyDescent="0.25">
      <c r="B169" s="99" t="s">
        <v>129</v>
      </c>
      <c r="C169" s="126">
        <f>C166+C167-C168</f>
        <v>162000</v>
      </c>
      <c r="D169" s="126">
        <f>D166+D167-D168</f>
        <v>129600</v>
      </c>
      <c r="E169" s="126">
        <f t="shared" ref="E169:H169" si="47">E166+E167-E168</f>
        <v>97200</v>
      </c>
      <c r="F169" s="126">
        <f t="shared" si="47"/>
        <v>64800</v>
      </c>
      <c r="G169" s="126">
        <f t="shared" si="47"/>
        <v>32400</v>
      </c>
      <c r="H169" s="126">
        <f t="shared" si="47"/>
        <v>0</v>
      </c>
      <c r="J169" s="86"/>
      <c r="K169" s="86"/>
    </row>
    <row r="170" spans="2:12" ht="20" customHeight="1" thickTop="1" x14ac:dyDescent="0.2">
      <c r="C170" s="90"/>
      <c r="D170" s="90"/>
      <c r="E170" s="90"/>
      <c r="F170" s="90"/>
      <c r="G170" s="90"/>
      <c r="H170" s="90"/>
      <c r="J170" s="86"/>
      <c r="K170" s="86"/>
    </row>
    <row r="171" spans="2:12" ht="20" customHeight="1" x14ac:dyDescent="0.2">
      <c r="B171" s="49" t="s">
        <v>130</v>
      </c>
      <c r="C171" s="90">
        <f>C166*$C$30</f>
        <v>0</v>
      </c>
      <c r="D171" s="90">
        <f t="shared" ref="D171:H171" si="48">D166*$C$30</f>
        <v>16200</v>
      </c>
      <c r="E171" s="90">
        <f t="shared" si="48"/>
        <v>12960</v>
      </c>
      <c r="F171" s="90">
        <f t="shared" si="48"/>
        <v>9720</v>
      </c>
      <c r="G171" s="90">
        <f t="shared" si="48"/>
        <v>6480</v>
      </c>
      <c r="H171" s="90">
        <f t="shared" si="48"/>
        <v>3240</v>
      </c>
      <c r="I171" s="90"/>
      <c r="J171" s="86"/>
      <c r="K171" s="86"/>
    </row>
    <row r="172" spans="2:12" ht="20" customHeight="1" x14ac:dyDescent="0.2">
      <c r="J172" s="86"/>
      <c r="K172" s="86"/>
    </row>
    <row r="173" spans="2:12" ht="20" customHeight="1" x14ac:dyDescent="0.2">
      <c r="B173" s="12" t="s">
        <v>131</v>
      </c>
      <c r="J173" s="27"/>
      <c r="K173" s="15"/>
      <c r="L173" s="15"/>
    </row>
    <row r="174" spans="2:12" ht="20" customHeight="1" x14ac:dyDescent="0.2">
      <c r="B174" s="49" t="s">
        <v>132</v>
      </c>
      <c r="C174" s="76">
        <f t="shared" ref="C174:H174" si="49">C42*$C$25/365</f>
        <v>0</v>
      </c>
      <c r="D174" s="76">
        <f t="shared" si="49"/>
        <v>6164.3835616438355</v>
      </c>
      <c r="E174" s="76">
        <f t="shared" si="49"/>
        <v>7397.2602739726026</v>
      </c>
      <c r="F174" s="76">
        <f t="shared" si="49"/>
        <v>9863.0136986301368</v>
      </c>
      <c r="G174" s="76">
        <f t="shared" si="49"/>
        <v>14794.520547945205</v>
      </c>
      <c r="H174" s="76">
        <f t="shared" si="49"/>
        <v>20547.945205479453</v>
      </c>
      <c r="I174" s="86"/>
    </row>
    <row r="175" spans="2:12" ht="20" customHeight="1" x14ac:dyDescent="0.2">
      <c r="B175" s="49" t="s">
        <v>15</v>
      </c>
      <c r="C175" s="76">
        <f t="shared" ref="C175:H175" si="50">C43*$C$17*$C$26/365</f>
        <v>0</v>
      </c>
      <c r="D175" s="76">
        <f t="shared" si="50"/>
        <v>1972.6027397260275</v>
      </c>
      <c r="E175" s="76">
        <f t="shared" si="50"/>
        <v>2367.1232876712329</v>
      </c>
      <c r="F175" s="76">
        <f t="shared" si="50"/>
        <v>3156.1643835616437</v>
      </c>
      <c r="G175" s="76">
        <f t="shared" si="50"/>
        <v>4734.2465753424658</v>
      </c>
      <c r="H175" s="76">
        <f t="shared" si="50"/>
        <v>6575.3424657534242</v>
      </c>
      <c r="J175" s="50"/>
      <c r="K175" s="50"/>
    </row>
    <row r="176" spans="2:12" ht="20" customHeight="1" x14ac:dyDescent="0.2">
      <c r="B176" s="49" t="s">
        <v>133</v>
      </c>
      <c r="C176" s="76">
        <f t="shared" ref="C176:H176" si="51">C43*$C$17*$C$27/365</f>
        <v>0</v>
      </c>
      <c r="D176" s="76">
        <f t="shared" si="51"/>
        <v>986.30136986301375</v>
      </c>
      <c r="E176" s="76">
        <f t="shared" si="51"/>
        <v>1183.5616438356165</v>
      </c>
      <c r="F176" s="76">
        <f t="shared" si="51"/>
        <v>1578.0821917808219</v>
      </c>
      <c r="G176" s="76">
        <f t="shared" si="51"/>
        <v>2367.1232876712329</v>
      </c>
      <c r="H176" s="76">
        <f t="shared" si="51"/>
        <v>3287.6712328767121</v>
      </c>
      <c r="J176" s="90"/>
      <c r="K176" s="90"/>
    </row>
    <row r="177" spans="2:12" ht="20" customHeight="1" thickBot="1" x14ac:dyDescent="0.25">
      <c r="B177" s="99" t="s">
        <v>134</v>
      </c>
      <c r="C177" s="126">
        <f>C174+C175-C176</f>
        <v>0</v>
      </c>
      <c r="D177" s="126">
        <f t="shared" ref="D177:H177" si="52">D174+D175-D176</f>
        <v>7150.6849315068494</v>
      </c>
      <c r="E177" s="126">
        <f t="shared" si="52"/>
        <v>8580.8219178082181</v>
      </c>
      <c r="F177" s="126">
        <f t="shared" si="52"/>
        <v>11441.095890410958</v>
      </c>
      <c r="G177" s="126">
        <f t="shared" si="52"/>
        <v>17161.643835616436</v>
      </c>
      <c r="H177" s="126">
        <f t="shared" si="52"/>
        <v>23835.616438356163</v>
      </c>
      <c r="J177" s="76"/>
      <c r="K177" s="50"/>
    </row>
    <row r="178" spans="2:12" ht="20" customHeight="1" thickTop="1" x14ac:dyDescent="0.2">
      <c r="B178" s="49" t="s">
        <v>16</v>
      </c>
      <c r="C178" s="90">
        <v>0</v>
      </c>
      <c r="D178" s="90">
        <f>D177-C177</f>
        <v>7150.6849315068494</v>
      </c>
      <c r="E178" s="90">
        <f>E177-D177</f>
        <v>1430.1369863013688</v>
      </c>
      <c r="F178" s="90">
        <f t="shared" ref="F178" si="53">F177-E177</f>
        <v>2860.2739726027394</v>
      </c>
      <c r="G178" s="90">
        <f t="shared" ref="G178" si="54">G177-F177</f>
        <v>5720.5479452054788</v>
      </c>
      <c r="H178" s="90">
        <f>H177-G177</f>
        <v>6673.9726027397264</v>
      </c>
      <c r="J178" s="90"/>
    </row>
    <row r="179" spans="2:12" ht="20" customHeight="1" x14ac:dyDescent="0.2">
      <c r="B179" s="50"/>
      <c r="E179" s="94"/>
      <c r="F179" s="94"/>
      <c r="G179" s="94"/>
      <c r="H179" s="94"/>
      <c r="I179" s="94"/>
      <c r="J179" s="94"/>
    </row>
    <row r="181" spans="2:12" ht="20" customHeight="1" x14ac:dyDescent="0.2">
      <c r="B181" s="50"/>
      <c r="C181" s="52"/>
      <c r="E181" s="52"/>
      <c r="F181" s="52"/>
      <c r="G181" s="52"/>
      <c r="H181" s="52"/>
      <c r="I181" s="52"/>
      <c r="J181" s="52"/>
    </row>
    <row r="182" spans="2:12" ht="20" customHeight="1" x14ac:dyDescent="0.2">
      <c r="B182" s="63"/>
      <c r="C182" s="76"/>
      <c r="E182" s="53"/>
      <c r="F182" s="76"/>
      <c r="G182" s="53"/>
      <c r="H182" s="76"/>
      <c r="I182" s="53"/>
      <c r="J182" s="76"/>
    </row>
    <row r="183" spans="2:12" ht="20" customHeight="1" x14ac:dyDescent="0.2">
      <c r="B183" s="63"/>
      <c r="C183" s="76"/>
      <c r="E183" s="53"/>
      <c r="F183" s="76"/>
      <c r="G183" s="53"/>
      <c r="H183" s="76"/>
      <c r="I183" s="53"/>
      <c r="J183" s="76"/>
    </row>
    <row r="184" spans="2:12" ht="20" customHeight="1" x14ac:dyDescent="0.2"/>
    <row r="185" spans="2:12" ht="20" customHeight="1" x14ac:dyDescent="0.2">
      <c r="B185" s="12"/>
      <c r="C185" s="12"/>
      <c r="D185" s="12"/>
      <c r="E185" s="11"/>
      <c r="F185" s="11"/>
      <c r="G185" s="11"/>
      <c r="H185" s="11"/>
      <c r="I185" s="11"/>
      <c r="J185" s="11"/>
      <c r="K185" s="11"/>
      <c r="L185" s="11"/>
    </row>
    <row r="186" spans="2:12" ht="20" customHeight="1" x14ac:dyDescent="0.2">
      <c r="E186" s="95"/>
      <c r="F186" s="95"/>
      <c r="G186" s="54"/>
      <c r="H186" s="95"/>
      <c r="J186" s="96"/>
      <c r="K186" s="96"/>
    </row>
    <row r="187" spans="2:12" ht="20" customHeight="1" x14ac:dyDescent="0.2">
      <c r="E187" s="95"/>
      <c r="F187" s="95"/>
      <c r="G187" s="54"/>
      <c r="H187" s="95"/>
      <c r="J187" s="96"/>
      <c r="K187" s="96"/>
    </row>
    <row r="188" spans="2:12" ht="20" customHeight="1" x14ac:dyDescent="0.2">
      <c r="E188" s="95"/>
      <c r="F188" s="95"/>
      <c r="G188" s="54"/>
      <c r="H188" s="95"/>
      <c r="J188" s="96"/>
      <c r="K188" s="96"/>
    </row>
    <row r="189" spans="2:12" ht="20" customHeight="1" x14ac:dyDescent="0.2">
      <c r="E189" s="95"/>
      <c r="F189" s="95"/>
      <c r="G189" s="54"/>
      <c r="H189" s="95"/>
      <c r="J189" s="96"/>
      <c r="K189" s="96"/>
    </row>
    <row r="190" spans="2:12" ht="20" customHeight="1" x14ac:dyDescent="0.2"/>
    <row r="191" spans="2:12" ht="20" customHeight="1" x14ac:dyDescent="0.2"/>
    <row r="192" spans="2:12" ht="20" customHeight="1" x14ac:dyDescent="0.2"/>
    <row r="193" ht="20" customHeight="1" x14ac:dyDescent="0.2"/>
    <row r="194" ht="20" customHeight="1" x14ac:dyDescent="0.2"/>
    <row r="195" ht="20" customHeight="1" x14ac:dyDescent="0.2"/>
    <row r="196" ht="20" customHeight="1" x14ac:dyDescent="0.2"/>
    <row r="197" ht="20" customHeight="1" x14ac:dyDescent="0.2"/>
    <row r="198" ht="20" customHeight="1" x14ac:dyDescent="0.2"/>
    <row r="199" ht="20" customHeight="1" x14ac:dyDescent="0.2"/>
  </sheetData>
  <mergeCells count="1">
    <mergeCell ref="C2:E2"/>
  </mergeCells>
  <pageMargins left="0.70866141732283472" right="0.70866141732283472" top="0.74803149606299213" bottom="0.74803149606299213" header="0.31496062992125984" footer="0.31496062992125984"/>
  <pageSetup paperSize="8" scale="85" fitToHeight="0" orientation="landscape" r:id="rId1"/>
  <headerFooter>
    <oddHeader>&amp;L&amp;"Century Gothic,Bold Italic"&amp;24Business Case Template</oddHeader>
    <oddFooter>&amp;F&amp;RPage &amp;P</oddFooter>
  </headerFooter>
  <rowBreaks count="2" manualBreakCount="2">
    <brk id="36" max="16383" man="1"/>
    <brk id="172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550AC-C2C0-7843-B6C4-8412A4941034}">
  <sheetPr>
    <pageSetUpPr fitToPage="1"/>
  </sheetPr>
  <dimension ref="B1:AC199"/>
  <sheetViews>
    <sheetView zoomScale="56" zoomScaleNormal="80" workbookViewId="0">
      <selection activeCell="C3" sqref="C3"/>
    </sheetView>
  </sheetViews>
  <sheetFormatPr baseColWidth="10" defaultColWidth="7.7109375" defaultRowHeight="16" x14ac:dyDescent="0.2"/>
  <cols>
    <col min="1" max="1" width="5.28515625" style="49" customWidth="1"/>
    <col min="2" max="2" width="68.85546875" style="49" customWidth="1"/>
    <col min="3" max="9" width="20.7109375" style="49" customWidth="1"/>
    <col min="10" max="11" width="17.7109375" style="49" customWidth="1"/>
    <col min="12" max="12" width="5.42578125" style="49" customWidth="1"/>
    <col min="13" max="16384" width="7.7109375" style="49"/>
  </cols>
  <sheetData>
    <row r="1" spans="2:29" ht="31.5" customHeight="1" x14ac:dyDescent="0.2"/>
    <row r="2" spans="2:29" s="71" customFormat="1" ht="54" customHeight="1" x14ac:dyDescent="0.2">
      <c r="B2" s="17" t="s">
        <v>162</v>
      </c>
      <c r="C2" s="151" t="s">
        <v>164</v>
      </c>
      <c r="D2" s="151"/>
      <c r="E2" s="151"/>
      <c r="F2" s="32"/>
      <c r="G2" s="32"/>
      <c r="H2" s="32"/>
      <c r="I2" s="32"/>
      <c r="J2" s="32"/>
      <c r="K2" s="32"/>
      <c r="L2" s="32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</row>
    <row r="3" spans="2:29" ht="20" customHeight="1" x14ac:dyDescent="0.2">
      <c r="B3" s="60"/>
      <c r="C3" s="72"/>
      <c r="D3" s="72"/>
      <c r="E3" s="15"/>
      <c r="F3" s="27"/>
      <c r="G3" s="27"/>
      <c r="H3" s="27"/>
      <c r="I3" s="27"/>
      <c r="J3" s="27"/>
      <c r="K3" s="15"/>
    </row>
    <row r="4" spans="2:29" ht="20" customHeight="1" x14ac:dyDescent="0.2">
      <c r="B4" s="60" t="s">
        <v>162</v>
      </c>
      <c r="C4" s="72" t="str">
        <f>C2</f>
        <v>[Insert name of option e.g., Focus on new revenue]</v>
      </c>
      <c r="D4" s="72"/>
      <c r="E4" s="15"/>
      <c r="F4" s="27"/>
      <c r="G4" s="27"/>
      <c r="H4" s="27"/>
      <c r="I4" s="27"/>
      <c r="J4" s="27"/>
      <c r="K4" s="15"/>
    </row>
    <row r="5" spans="2:29" ht="30" customHeight="1" x14ac:dyDescent="0.2">
      <c r="B5" s="60" t="s">
        <v>67</v>
      </c>
      <c r="C5" s="56" t="s">
        <v>68</v>
      </c>
      <c r="D5" s="56"/>
      <c r="E5" s="56"/>
      <c r="F5" s="55"/>
      <c r="G5" s="55"/>
      <c r="H5" s="55"/>
      <c r="I5" s="55"/>
      <c r="J5" s="55"/>
      <c r="K5" s="55"/>
      <c r="L5" s="55"/>
    </row>
    <row r="6" spans="2:29" ht="19.5" customHeight="1" x14ac:dyDescent="0.2"/>
    <row r="7" spans="2:29" s="58" customFormat="1" ht="22" customHeight="1" x14ac:dyDescent="0.2">
      <c r="B7" s="61" t="s">
        <v>6</v>
      </c>
      <c r="C7" s="64" t="s">
        <v>4</v>
      </c>
      <c r="D7" s="65" t="s">
        <v>35</v>
      </c>
      <c r="E7" s="65" t="s">
        <v>36</v>
      </c>
      <c r="F7" s="65" t="s">
        <v>37</v>
      </c>
      <c r="G7" s="65" t="s">
        <v>38</v>
      </c>
      <c r="H7" s="65" t="s">
        <v>39</v>
      </c>
      <c r="I7" s="65" t="s">
        <v>5</v>
      </c>
      <c r="J7" s="73"/>
      <c r="K7" s="73"/>
    </row>
    <row r="8" spans="2:29" ht="20" customHeight="1" x14ac:dyDescent="0.2">
      <c r="C8" s="74"/>
      <c r="D8" s="75"/>
      <c r="F8" s="76"/>
      <c r="G8" s="76"/>
      <c r="H8" s="76"/>
      <c r="I8" s="76"/>
      <c r="J8" s="76"/>
      <c r="K8" s="76"/>
    </row>
    <row r="9" spans="2:29" ht="20" customHeight="1" x14ac:dyDescent="0.2">
      <c r="B9" s="12" t="s">
        <v>0</v>
      </c>
      <c r="C9" s="74"/>
      <c r="D9" s="75"/>
      <c r="F9" s="76"/>
      <c r="G9" s="76"/>
      <c r="H9" s="76"/>
      <c r="I9" s="76"/>
      <c r="J9" s="76"/>
      <c r="K9" s="76"/>
    </row>
    <row r="10" spans="2:29" ht="20" customHeight="1" x14ac:dyDescent="0.2">
      <c r="B10" s="49" t="s">
        <v>7</v>
      </c>
      <c r="C10" s="74">
        <v>45778</v>
      </c>
      <c r="D10" s="75"/>
      <c r="F10" s="76"/>
      <c r="G10" s="76"/>
      <c r="H10" s="76"/>
      <c r="I10" s="76"/>
      <c r="J10" s="76"/>
      <c r="K10" s="76"/>
    </row>
    <row r="11" spans="2:29" ht="20" customHeight="1" x14ac:dyDescent="0.2">
      <c r="B11" s="49" t="s">
        <v>8</v>
      </c>
      <c r="C11" s="74">
        <v>45838</v>
      </c>
      <c r="D11" s="75"/>
      <c r="F11" s="76"/>
      <c r="G11" s="76"/>
      <c r="H11" s="76"/>
      <c r="I11" s="76"/>
      <c r="J11" s="76"/>
      <c r="K11" s="76"/>
    </row>
    <row r="12" spans="2:29" ht="20" customHeight="1" x14ac:dyDescent="0.2">
      <c r="B12" s="49" t="s">
        <v>3</v>
      </c>
      <c r="C12" s="74">
        <f>C10</f>
        <v>45778</v>
      </c>
      <c r="D12" s="74">
        <f>DATE(YEAR($C$11)+D13,6,30)</f>
        <v>46203</v>
      </c>
      <c r="E12" s="74">
        <f t="shared" ref="E12:I12" si="0">DATE(YEAR($C$11)+E13,6,30)</f>
        <v>46568</v>
      </c>
      <c r="F12" s="74">
        <f t="shared" si="0"/>
        <v>46934</v>
      </c>
      <c r="G12" s="74">
        <f t="shared" si="0"/>
        <v>47299</v>
      </c>
      <c r="H12" s="74">
        <f t="shared" si="0"/>
        <v>47664</v>
      </c>
      <c r="I12" s="74">
        <f t="shared" si="0"/>
        <v>48029</v>
      </c>
      <c r="J12" s="78"/>
      <c r="K12" s="78"/>
    </row>
    <row r="13" spans="2:29" ht="20" customHeight="1" x14ac:dyDescent="0.2">
      <c r="B13" s="49" t="s">
        <v>148</v>
      </c>
      <c r="C13" s="79">
        <v>0</v>
      </c>
      <c r="D13" s="77">
        <v>1</v>
      </c>
      <c r="E13" s="134">
        <f>D13+1</f>
        <v>2</v>
      </c>
      <c r="F13" s="134">
        <f t="shared" ref="F13:I13" si="1">E13+1</f>
        <v>3</v>
      </c>
      <c r="G13" s="134">
        <f t="shared" si="1"/>
        <v>4</v>
      </c>
      <c r="H13" s="134">
        <f t="shared" si="1"/>
        <v>5</v>
      </c>
      <c r="I13" s="134">
        <f t="shared" si="1"/>
        <v>6</v>
      </c>
      <c r="J13" s="79"/>
      <c r="K13" s="79"/>
    </row>
    <row r="14" spans="2:29" ht="20" customHeight="1" x14ac:dyDescent="0.2">
      <c r="B14" s="49" t="s">
        <v>149</v>
      </c>
      <c r="C14" s="77"/>
      <c r="D14" s="135">
        <f>YEARFRAC(C12,D12)</f>
        <v>1.163888888888889</v>
      </c>
      <c r="E14" s="135">
        <f t="shared" ref="E14:H14" si="2">YEARFRAC(D12,E12)</f>
        <v>1</v>
      </c>
      <c r="F14" s="135">
        <f t="shared" si="2"/>
        <v>1</v>
      </c>
      <c r="G14" s="135">
        <f t="shared" si="2"/>
        <v>1</v>
      </c>
      <c r="H14" s="135">
        <f t="shared" si="2"/>
        <v>1</v>
      </c>
      <c r="I14" s="80"/>
      <c r="J14" s="80"/>
      <c r="K14" s="77"/>
    </row>
    <row r="15" spans="2:29" ht="20" customHeight="1" x14ac:dyDescent="0.2">
      <c r="C15" s="74"/>
      <c r="D15" s="75"/>
      <c r="F15" s="76"/>
      <c r="G15" s="76"/>
      <c r="H15" s="76"/>
      <c r="I15" s="76"/>
      <c r="J15" s="76"/>
      <c r="K15" s="76"/>
    </row>
    <row r="16" spans="2:29" ht="20" customHeight="1" x14ac:dyDescent="0.2">
      <c r="B16" s="12" t="s">
        <v>1</v>
      </c>
      <c r="C16" s="74"/>
      <c r="D16" s="75"/>
      <c r="F16" s="76"/>
      <c r="G16" s="76"/>
      <c r="H16" s="76"/>
      <c r="I16" s="76"/>
      <c r="J16" s="76"/>
      <c r="K16" s="76"/>
    </row>
    <row r="17" spans="2:11" ht="19.5" customHeight="1" x14ac:dyDescent="0.2">
      <c r="B17" s="49" t="s">
        <v>116</v>
      </c>
      <c r="C17" s="120">
        <v>0.4</v>
      </c>
      <c r="F17" s="76"/>
      <c r="G17" s="76"/>
      <c r="H17" s="76"/>
      <c r="I17" s="76"/>
      <c r="J17" s="76"/>
      <c r="K17" s="76"/>
    </row>
    <row r="18" spans="2:11" ht="20" customHeight="1" x14ac:dyDescent="0.2">
      <c r="B18" s="49" t="s">
        <v>117</v>
      </c>
      <c r="C18" s="120">
        <v>0.22</v>
      </c>
      <c r="F18" s="76"/>
      <c r="G18" s="76"/>
      <c r="H18" s="76"/>
      <c r="I18" s="76"/>
      <c r="J18" s="76"/>
      <c r="K18" s="76"/>
    </row>
    <row r="19" spans="2:11" ht="19.5" customHeight="1" x14ac:dyDescent="0.2">
      <c r="B19" s="21" t="s">
        <v>124</v>
      </c>
      <c r="C19" s="120">
        <v>0.1</v>
      </c>
      <c r="F19" s="76"/>
      <c r="G19" s="76"/>
      <c r="H19" s="76"/>
      <c r="I19" s="76"/>
      <c r="J19" s="76"/>
      <c r="K19" s="76"/>
    </row>
    <row r="20" spans="2:11" ht="19.5" customHeight="1" x14ac:dyDescent="0.2">
      <c r="B20" s="21"/>
      <c r="C20" s="23"/>
      <c r="D20" s="81"/>
      <c r="F20" s="76"/>
      <c r="G20" s="76"/>
      <c r="H20" s="76"/>
      <c r="I20" s="76"/>
      <c r="J20" s="76"/>
      <c r="K20" s="76"/>
    </row>
    <row r="21" spans="2:11" ht="19.5" customHeight="1" x14ac:dyDescent="0.2">
      <c r="B21" s="12" t="s">
        <v>150</v>
      </c>
      <c r="C21" s="23"/>
      <c r="D21" s="81"/>
      <c r="F21" s="76"/>
      <c r="G21" s="76"/>
      <c r="H21" s="76"/>
      <c r="I21" s="76"/>
      <c r="J21" s="76"/>
      <c r="K21" s="76"/>
    </row>
    <row r="22" spans="2:11" ht="19.5" customHeight="1" x14ac:dyDescent="0.2">
      <c r="B22" s="49" t="s">
        <v>151</v>
      </c>
      <c r="C22" s="120">
        <v>0.2</v>
      </c>
      <c r="D22" s="81"/>
      <c r="F22" s="76"/>
      <c r="G22" s="76"/>
      <c r="H22" s="76"/>
      <c r="I22" s="76"/>
      <c r="J22" s="76"/>
      <c r="K22" s="76"/>
    </row>
    <row r="23" spans="2:11" ht="19.5" customHeight="1" x14ac:dyDescent="0.2">
      <c r="B23" s="21"/>
      <c r="C23" s="23"/>
      <c r="D23" s="81"/>
      <c r="F23" s="76"/>
      <c r="G23" s="76"/>
      <c r="H23" s="76"/>
      <c r="I23" s="76"/>
      <c r="J23" s="76"/>
      <c r="K23" s="76"/>
    </row>
    <row r="24" spans="2:11" ht="19.5" customHeight="1" x14ac:dyDescent="0.2">
      <c r="B24" s="12" t="s">
        <v>147</v>
      </c>
      <c r="C24" s="23"/>
      <c r="D24" s="81"/>
      <c r="F24" s="76"/>
      <c r="G24" s="76"/>
      <c r="H24" s="76"/>
      <c r="I24" s="76"/>
      <c r="J24" s="76"/>
      <c r="K24" s="76"/>
    </row>
    <row r="25" spans="2:11" ht="19.5" customHeight="1" x14ac:dyDescent="0.2">
      <c r="B25" s="21" t="s">
        <v>144</v>
      </c>
      <c r="C25" s="127">
        <v>30</v>
      </c>
      <c r="F25" s="76"/>
      <c r="G25" s="76"/>
      <c r="H25" s="76"/>
      <c r="I25" s="76"/>
      <c r="J25" s="76"/>
      <c r="K25" s="76"/>
    </row>
    <row r="26" spans="2:11" ht="19.5" customHeight="1" x14ac:dyDescent="0.2">
      <c r="B26" s="21" t="s">
        <v>145</v>
      </c>
      <c r="C26" s="127">
        <v>60</v>
      </c>
      <c r="F26" s="76"/>
      <c r="G26" s="76"/>
      <c r="H26" s="76"/>
      <c r="I26" s="76"/>
      <c r="J26" s="76"/>
      <c r="K26" s="76"/>
    </row>
    <row r="27" spans="2:11" ht="19.5" customHeight="1" x14ac:dyDescent="0.2">
      <c r="B27" s="21" t="s">
        <v>146</v>
      </c>
      <c r="C27" s="127">
        <v>30</v>
      </c>
      <c r="F27" s="76"/>
      <c r="G27" s="76"/>
      <c r="H27" s="76"/>
      <c r="I27" s="76"/>
      <c r="J27" s="76"/>
      <c r="K27" s="76"/>
    </row>
    <row r="28" spans="2:11" ht="20" customHeight="1" x14ac:dyDescent="0.2">
      <c r="D28" s="81"/>
      <c r="F28" s="76"/>
      <c r="G28" s="76"/>
      <c r="H28" s="76"/>
      <c r="I28" s="76"/>
      <c r="J28" s="76"/>
      <c r="K28" s="76"/>
    </row>
    <row r="29" spans="2:11" ht="20" customHeight="1" x14ac:dyDescent="0.2">
      <c r="B29" s="12" t="s">
        <v>9</v>
      </c>
      <c r="D29" s="81"/>
      <c r="F29" s="76"/>
      <c r="G29" s="76"/>
      <c r="H29" s="76"/>
      <c r="I29" s="76"/>
      <c r="J29" s="76"/>
      <c r="K29" s="76"/>
    </row>
    <row r="30" spans="2:11" ht="20" customHeight="1" x14ac:dyDescent="0.2">
      <c r="B30" s="49" t="s">
        <v>143</v>
      </c>
      <c r="C30" s="120">
        <v>0.1</v>
      </c>
      <c r="F30" s="76"/>
      <c r="G30" s="76"/>
      <c r="H30" s="76"/>
      <c r="I30" s="76"/>
      <c r="J30" s="76"/>
      <c r="K30" s="76"/>
    </row>
    <row r="31" spans="2:11" ht="19.5" customHeight="1" x14ac:dyDescent="0.2">
      <c r="B31" s="21" t="s">
        <v>142</v>
      </c>
      <c r="C31" s="120">
        <v>0.2</v>
      </c>
      <c r="F31" s="76"/>
      <c r="G31" s="76"/>
      <c r="H31" s="76"/>
      <c r="I31" s="76"/>
      <c r="J31" s="76"/>
      <c r="K31" s="76"/>
    </row>
    <row r="32" spans="2:11" ht="20" customHeight="1" x14ac:dyDescent="0.2">
      <c r="D32" s="81"/>
      <c r="F32" s="76"/>
      <c r="G32" s="76"/>
      <c r="H32" s="76"/>
      <c r="I32" s="76"/>
      <c r="J32" s="76"/>
      <c r="K32" s="76"/>
    </row>
    <row r="33" spans="2:12" ht="20" customHeight="1" x14ac:dyDescent="0.2">
      <c r="B33" s="12" t="s">
        <v>2</v>
      </c>
      <c r="D33" s="81"/>
      <c r="F33" s="76"/>
      <c r="G33" s="76"/>
      <c r="H33" s="76"/>
      <c r="I33" s="76"/>
      <c r="J33" s="76"/>
      <c r="K33" s="76"/>
    </row>
    <row r="34" spans="2:12" ht="20" customHeight="1" x14ac:dyDescent="0.2">
      <c r="B34" s="49" t="s">
        <v>10</v>
      </c>
      <c r="C34" s="120">
        <v>0.1</v>
      </c>
      <c r="F34" s="76"/>
      <c r="G34" s="76"/>
      <c r="H34" s="76"/>
      <c r="I34" s="76"/>
      <c r="J34" s="76"/>
      <c r="K34" s="76"/>
    </row>
    <row r="35" spans="2:12" ht="20" customHeight="1" x14ac:dyDescent="0.2">
      <c r="B35" s="49" t="s">
        <v>11</v>
      </c>
      <c r="C35" s="120">
        <v>0.05</v>
      </c>
      <c r="D35" s="81"/>
      <c r="F35" s="76"/>
      <c r="G35" s="76"/>
      <c r="H35" s="76"/>
      <c r="I35" s="76"/>
      <c r="J35" s="76"/>
      <c r="K35" s="76"/>
    </row>
    <row r="36" spans="2:12" ht="20" customHeight="1" x14ac:dyDescent="0.2">
      <c r="B36" s="77"/>
      <c r="C36" s="75"/>
      <c r="D36" s="75"/>
      <c r="E36" s="74"/>
      <c r="F36" s="76"/>
      <c r="G36" s="76"/>
      <c r="H36" s="76"/>
      <c r="I36" s="76"/>
      <c r="J36" s="76"/>
      <c r="K36" s="76"/>
    </row>
    <row r="37" spans="2:12" s="58" customFormat="1" ht="20" customHeight="1" x14ac:dyDescent="0.2">
      <c r="B37" s="61" t="s">
        <v>69</v>
      </c>
      <c r="C37" s="64" t="s">
        <v>4</v>
      </c>
      <c r="D37" s="65" t="s">
        <v>35</v>
      </c>
      <c r="E37" s="65" t="s">
        <v>36</v>
      </c>
      <c r="F37" s="65" t="s">
        <v>37</v>
      </c>
      <c r="G37" s="65" t="s">
        <v>38</v>
      </c>
      <c r="H37" s="65" t="s">
        <v>39</v>
      </c>
      <c r="I37" s="65" t="s">
        <v>5</v>
      </c>
      <c r="L37" s="73"/>
    </row>
    <row r="38" spans="2:12" s="31" customFormat="1" ht="20" customHeight="1" x14ac:dyDescent="0.2">
      <c r="B38" s="62"/>
      <c r="C38" s="30"/>
      <c r="D38" s="59"/>
      <c r="E38" s="59"/>
      <c r="F38" s="59"/>
      <c r="G38" s="59"/>
      <c r="H38" s="59"/>
      <c r="I38" s="30"/>
      <c r="L38" s="82"/>
    </row>
    <row r="39" spans="2:12" s="69" customFormat="1" ht="20" customHeight="1" x14ac:dyDescent="0.2">
      <c r="B39" s="66" t="s">
        <v>1</v>
      </c>
      <c r="C39" s="67"/>
      <c r="D39" s="68"/>
      <c r="E39" s="68"/>
      <c r="F39" s="68"/>
      <c r="G39" s="68"/>
      <c r="H39" s="68"/>
      <c r="I39" s="67"/>
      <c r="L39" s="83"/>
    </row>
    <row r="40" spans="2:12" ht="20" customHeight="1" x14ac:dyDescent="0.2">
      <c r="B40" s="60"/>
      <c r="C40" s="15"/>
      <c r="D40" s="27"/>
      <c r="E40" s="27"/>
      <c r="F40" s="27"/>
      <c r="G40" s="27"/>
      <c r="H40" s="27"/>
      <c r="I40" s="15"/>
      <c r="L40" s="84"/>
    </row>
    <row r="41" spans="2:12" ht="36" customHeight="1" x14ac:dyDescent="0.2">
      <c r="B41" s="50" t="s">
        <v>70</v>
      </c>
      <c r="C41" s="103"/>
      <c r="D41" s="103"/>
      <c r="E41" s="103"/>
      <c r="F41" s="103"/>
      <c r="G41" s="103"/>
      <c r="H41" s="103"/>
    </row>
    <row r="42" spans="2:12" ht="20" customHeight="1" x14ac:dyDescent="0.2">
      <c r="B42" s="49" t="s">
        <v>71</v>
      </c>
      <c r="C42" s="104"/>
      <c r="D42" s="119">
        <v>75000</v>
      </c>
      <c r="E42" s="119">
        <v>90000</v>
      </c>
      <c r="F42" s="119">
        <v>120000</v>
      </c>
      <c r="G42" s="119">
        <v>180000</v>
      </c>
      <c r="H42" s="119">
        <v>250000</v>
      </c>
    </row>
    <row r="43" spans="2:12" ht="20" customHeight="1" x14ac:dyDescent="0.2">
      <c r="B43" s="49" t="s">
        <v>72</v>
      </c>
      <c r="C43" s="103"/>
      <c r="D43" s="103">
        <f>D42*$C$17</f>
        <v>30000</v>
      </c>
      <c r="E43" s="103">
        <f>E42*$C$17</f>
        <v>36000</v>
      </c>
      <c r="F43" s="103">
        <f>F42*$C$17</f>
        <v>48000</v>
      </c>
      <c r="G43" s="103">
        <f>G42*$C$17</f>
        <v>72000</v>
      </c>
      <c r="H43" s="103">
        <f>H42*$C$17</f>
        <v>100000</v>
      </c>
    </row>
    <row r="44" spans="2:12" ht="20" customHeight="1" thickBot="1" x14ac:dyDescent="0.25">
      <c r="B44" s="98" t="s">
        <v>73</v>
      </c>
      <c r="C44" s="102">
        <f>(C42-C43)</f>
        <v>0</v>
      </c>
      <c r="D44" s="102">
        <f t="shared" ref="D44:H44" si="3">(D42-D43)</f>
        <v>45000</v>
      </c>
      <c r="E44" s="102">
        <f t="shared" si="3"/>
        <v>54000</v>
      </c>
      <c r="F44" s="102">
        <f t="shared" si="3"/>
        <v>72000</v>
      </c>
      <c r="G44" s="102">
        <f t="shared" si="3"/>
        <v>108000</v>
      </c>
      <c r="H44" s="102">
        <f t="shared" si="3"/>
        <v>150000</v>
      </c>
    </row>
    <row r="45" spans="2:12" ht="20" customHeight="1" thickTop="1" x14ac:dyDescent="0.2">
      <c r="B45" s="50"/>
      <c r="C45" s="105"/>
      <c r="D45" s="105"/>
      <c r="E45" s="105"/>
      <c r="F45" s="105"/>
      <c r="G45" s="105"/>
      <c r="H45" s="105"/>
    </row>
    <row r="46" spans="2:12" ht="20" customHeight="1" x14ac:dyDescent="0.2">
      <c r="B46" s="50" t="s">
        <v>74</v>
      </c>
      <c r="C46" s="103"/>
      <c r="D46" s="103"/>
      <c r="E46" s="103"/>
      <c r="F46" s="103"/>
      <c r="G46" s="103"/>
      <c r="H46" s="103"/>
    </row>
    <row r="47" spans="2:12" ht="20" customHeight="1" x14ac:dyDescent="0.2">
      <c r="B47" s="49" t="s">
        <v>75</v>
      </c>
      <c r="C47" s="104"/>
      <c r="D47" s="119">
        <v>50000</v>
      </c>
      <c r="E47" s="119">
        <v>50000</v>
      </c>
      <c r="F47" s="119">
        <v>50000</v>
      </c>
      <c r="G47" s="119">
        <v>50000</v>
      </c>
      <c r="H47" s="119">
        <v>50000</v>
      </c>
    </row>
    <row r="48" spans="2:12" ht="20" customHeight="1" x14ac:dyDescent="0.2">
      <c r="B48" s="49" t="s">
        <v>75</v>
      </c>
      <c r="C48" s="104"/>
      <c r="D48" s="119">
        <v>0</v>
      </c>
      <c r="E48" s="119">
        <v>0</v>
      </c>
      <c r="F48" s="119">
        <v>0</v>
      </c>
      <c r="G48" s="119">
        <v>0</v>
      </c>
      <c r="H48" s="119">
        <v>0</v>
      </c>
    </row>
    <row r="49" spans="2:8" ht="20" customHeight="1" thickBot="1" x14ac:dyDescent="0.25">
      <c r="B49" s="98" t="s">
        <v>76</v>
      </c>
      <c r="C49" s="102">
        <f>SUM(C47:C48)</f>
        <v>0</v>
      </c>
      <c r="D49" s="102">
        <f t="shared" ref="D49:H49" si="4">SUM(D47:D48)</f>
        <v>50000</v>
      </c>
      <c r="E49" s="102">
        <f t="shared" si="4"/>
        <v>50000</v>
      </c>
      <c r="F49" s="102">
        <f t="shared" si="4"/>
        <v>50000</v>
      </c>
      <c r="G49" s="102">
        <f t="shared" si="4"/>
        <v>50000</v>
      </c>
      <c r="H49" s="102">
        <f t="shared" si="4"/>
        <v>50000</v>
      </c>
    </row>
    <row r="50" spans="2:8" ht="20" customHeight="1" thickTop="1" x14ac:dyDescent="0.2">
      <c r="B50" s="50"/>
      <c r="C50" s="105"/>
      <c r="D50" s="105"/>
      <c r="E50" s="105"/>
      <c r="F50" s="105"/>
      <c r="G50" s="105"/>
      <c r="H50" s="105"/>
    </row>
    <row r="51" spans="2:8" s="89" customFormat="1" ht="20" customHeight="1" x14ac:dyDescent="0.2">
      <c r="B51" s="88" t="s">
        <v>87</v>
      </c>
      <c r="C51" s="106"/>
      <c r="D51" s="106"/>
      <c r="E51" s="106"/>
      <c r="F51" s="106"/>
      <c r="G51" s="106"/>
      <c r="H51" s="106"/>
    </row>
    <row r="52" spans="2:8" ht="20" customHeight="1" x14ac:dyDescent="0.2">
      <c r="C52" s="104"/>
      <c r="D52" s="104"/>
      <c r="E52" s="104"/>
      <c r="F52" s="104"/>
      <c r="G52" s="104"/>
      <c r="H52" s="104"/>
    </row>
    <row r="53" spans="2:8" ht="20" customHeight="1" x14ac:dyDescent="0.2">
      <c r="B53" s="100" t="s">
        <v>89</v>
      </c>
      <c r="C53" s="107"/>
      <c r="D53" s="107"/>
      <c r="E53" s="107"/>
      <c r="F53" s="107"/>
      <c r="G53" s="107"/>
      <c r="H53" s="107"/>
    </row>
    <row r="54" spans="2:8" ht="20" customHeight="1" x14ac:dyDescent="0.2">
      <c r="B54" s="101" t="s">
        <v>90</v>
      </c>
      <c r="C54" s="104"/>
      <c r="D54" s="111">
        <v>20000</v>
      </c>
      <c r="E54" s="111">
        <f>D54</f>
        <v>20000</v>
      </c>
      <c r="F54" s="111">
        <f t="shared" ref="F54:H56" si="5">E54</f>
        <v>20000</v>
      </c>
      <c r="G54" s="111">
        <f t="shared" si="5"/>
        <v>20000</v>
      </c>
      <c r="H54" s="111">
        <f t="shared" si="5"/>
        <v>20000</v>
      </c>
    </row>
    <row r="55" spans="2:8" ht="20" customHeight="1" x14ac:dyDescent="0.2">
      <c r="B55" s="101" t="s">
        <v>91</v>
      </c>
      <c r="C55" s="104"/>
      <c r="D55" s="111">
        <v>5000</v>
      </c>
      <c r="E55" s="111">
        <f>D55</f>
        <v>5000</v>
      </c>
      <c r="F55" s="111">
        <f t="shared" si="5"/>
        <v>5000</v>
      </c>
      <c r="G55" s="111">
        <f t="shared" si="5"/>
        <v>5000</v>
      </c>
      <c r="H55" s="111">
        <f t="shared" si="5"/>
        <v>5000</v>
      </c>
    </row>
    <row r="56" spans="2:8" ht="20" customHeight="1" x14ac:dyDescent="0.2">
      <c r="B56" s="101" t="s">
        <v>92</v>
      </c>
      <c r="C56" s="104"/>
      <c r="D56" s="111">
        <v>0</v>
      </c>
      <c r="E56" s="111">
        <f>D56</f>
        <v>0</v>
      </c>
      <c r="F56" s="111">
        <f t="shared" si="5"/>
        <v>0</v>
      </c>
      <c r="G56" s="111">
        <f t="shared" si="5"/>
        <v>0</v>
      </c>
      <c r="H56" s="111">
        <f t="shared" si="5"/>
        <v>0</v>
      </c>
    </row>
    <row r="57" spans="2:8" ht="20" customHeight="1" x14ac:dyDescent="0.2">
      <c r="B57" s="101" t="s">
        <v>93</v>
      </c>
      <c r="C57" s="104"/>
      <c r="D57" s="111">
        <v>0</v>
      </c>
      <c r="E57" s="111">
        <v>0</v>
      </c>
      <c r="F57" s="111">
        <v>0</v>
      </c>
      <c r="G57" s="111">
        <v>0</v>
      </c>
      <c r="H57" s="111">
        <v>0</v>
      </c>
    </row>
    <row r="58" spans="2:8" ht="20" customHeight="1" x14ac:dyDescent="0.2">
      <c r="B58" s="101" t="s">
        <v>94</v>
      </c>
      <c r="C58" s="104"/>
      <c r="D58" s="111">
        <v>0</v>
      </c>
      <c r="E58" s="111">
        <v>0</v>
      </c>
      <c r="F58" s="111">
        <v>0</v>
      </c>
      <c r="G58" s="111">
        <v>0</v>
      </c>
      <c r="H58" s="111">
        <v>0</v>
      </c>
    </row>
    <row r="59" spans="2:8" ht="20" customHeight="1" x14ac:dyDescent="0.2">
      <c r="B59" s="101"/>
      <c r="C59" s="107"/>
      <c r="D59" s="112"/>
      <c r="E59" s="112"/>
      <c r="F59" s="112"/>
      <c r="G59" s="112"/>
      <c r="H59" s="112"/>
    </row>
    <row r="60" spans="2:8" ht="20" customHeight="1" x14ac:dyDescent="0.2">
      <c r="B60" s="100" t="s">
        <v>95</v>
      </c>
      <c r="C60" s="108"/>
      <c r="D60" s="136"/>
      <c r="E60" s="136"/>
      <c r="F60" s="136"/>
      <c r="G60" s="136"/>
      <c r="H60" s="136"/>
    </row>
    <row r="61" spans="2:8" ht="20" customHeight="1" x14ac:dyDescent="0.2">
      <c r="B61" s="101" t="s">
        <v>96</v>
      </c>
      <c r="C61" s="104"/>
      <c r="D61" s="111">
        <v>1000</v>
      </c>
      <c r="E61" s="111">
        <v>1000</v>
      </c>
      <c r="F61" s="111">
        <v>1000</v>
      </c>
      <c r="G61" s="111">
        <v>1000</v>
      </c>
      <c r="H61" s="111">
        <v>1000</v>
      </c>
    </row>
    <row r="62" spans="2:8" ht="20" customHeight="1" x14ac:dyDescent="0.2">
      <c r="B62" s="101" t="s">
        <v>97</v>
      </c>
      <c r="C62" s="104"/>
      <c r="D62" s="111">
        <v>0</v>
      </c>
      <c r="E62" s="111">
        <v>0</v>
      </c>
      <c r="F62" s="111">
        <v>0</v>
      </c>
      <c r="G62" s="111">
        <v>0</v>
      </c>
      <c r="H62" s="111">
        <v>0</v>
      </c>
    </row>
    <row r="63" spans="2:8" ht="20" customHeight="1" x14ac:dyDescent="0.2">
      <c r="B63" s="101" t="s">
        <v>98</v>
      </c>
      <c r="C63" s="104"/>
      <c r="D63" s="111">
        <v>0</v>
      </c>
      <c r="E63" s="111">
        <v>0</v>
      </c>
      <c r="F63" s="111">
        <v>0</v>
      </c>
      <c r="G63" s="111">
        <v>0</v>
      </c>
      <c r="H63" s="111">
        <v>0</v>
      </c>
    </row>
    <row r="64" spans="2:8" ht="20" customHeight="1" x14ac:dyDescent="0.2">
      <c r="B64" s="101" t="s">
        <v>99</v>
      </c>
      <c r="C64" s="104"/>
      <c r="D64" s="111">
        <v>0</v>
      </c>
      <c r="E64" s="111">
        <v>0</v>
      </c>
      <c r="F64" s="111">
        <v>0</v>
      </c>
      <c r="G64" s="111">
        <v>0</v>
      </c>
      <c r="H64" s="111">
        <v>0</v>
      </c>
    </row>
    <row r="65" spans="2:8" ht="20" customHeight="1" x14ac:dyDescent="0.2">
      <c r="B65" s="101" t="s">
        <v>100</v>
      </c>
      <c r="C65" s="104"/>
      <c r="D65" s="111">
        <v>0</v>
      </c>
      <c r="E65" s="111">
        <v>0</v>
      </c>
      <c r="F65" s="111">
        <v>0</v>
      </c>
      <c r="G65" s="111">
        <v>0</v>
      </c>
      <c r="H65" s="111">
        <v>0</v>
      </c>
    </row>
    <row r="66" spans="2:8" ht="20" customHeight="1" x14ac:dyDescent="0.2">
      <c r="B66" s="101"/>
      <c r="C66" s="107"/>
      <c r="D66" s="112"/>
      <c r="E66" s="112"/>
      <c r="F66" s="112"/>
      <c r="G66" s="112"/>
      <c r="H66" s="112"/>
    </row>
    <row r="67" spans="2:8" ht="20" customHeight="1" x14ac:dyDescent="0.2">
      <c r="B67" s="100" t="s">
        <v>101</v>
      </c>
      <c r="C67" s="108"/>
      <c r="D67" s="136"/>
      <c r="E67" s="136"/>
      <c r="F67" s="136"/>
      <c r="G67" s="136"/>
      <c r="H67" s="136"/>
    </row>
    <row r="68" spans="2:8" ht="20" customHeight="1" x14ac:dyDescent="0.2">
      <c r="B68" s="101" t="s">
        <v>102</v>
      </c>
      <c r="C68" s="104"/>
      <c r="D68" s="111">
        <v>0</v>
      </c>
      <c r="E68" s="111">
        <v>0</v>
      </c>
      <c r="F68" s="111">
        <v>0</v>
      </c>
      <c r="G68" s="111">
        <v>0</v>
      </c>
      <c r="H68" s="111">
        <v>0</v>
      </c>
    </row>
    <row r="69" spans="2:8" ht="20" customHeight="1" x14ac:dyDescent="0.2">
      <c r="C69" s="104"/>
      <c r="D69" s="104"/>
      <c r="E69" s="104"/>
      <c r="F69" s="104"/>
      <c r="G69" s="104"/>
      <c r="H69" s="104"/>
    </row>
    <row r="70" spans="2:8" ht="20" customHeight="1" thickBot="1" x14ac:dyDescent="0.25">
      <c r="B70" s="98" t="s">
        <v>103</v>
      </c>
      <c r="C70" s="102">
        <f t="shared" ref="C70:H70" si="6">-SUM(C52:C69)</f>
        <v>0</v>
      </c>
      <c r="D70" s="102">
        <f t="shared" si="6"/>
        <v>-26000</v>
      </c>
      <c r="E70" s="102">
        <f t="shared" si="6"/>
        <v>-26000</v>
      </c>
      <c r="F70" s="102">
        <f t="shared" si="6"/>
        <v>-26000</v>
      </c>
      <c r="G70" s="102">
        <f t="shared" si="6"/>
        <v>-26000</v>
      </c>
      <c r="H70" s="102">
        <f t="shared" si="6"/>
        <v>-26000</v>
      </c>
    </row>
    <row r="71" spans="2:8" ht="20" customHeight="1" thickTop="1" x14ac:dyDescent="0.2">
      <c r="B71" s="50"/>
      <c r="C71" s="105"/>
      <c r="D71" s="105"/>
      <c r="E71" s="105"/>
      <c r="F71" s="105"/>
      <c r="G71" s="105"/>
      <c r="H71" s="105"/>
    </row>
    <row r="72" spans="2:8" ht="20" customHeight="1" x14ac:dyDescent="0.2">
      <c r="B72" s="50" t="s">
        <v>104</v>
      </c>
      <c r="C72" s="105">
        <f t="shared" ref="C72:H72" si="7">C44+C49+C70</f>
        <v>0</v>
      </c>
      <c r="D72" s="105">
        <f t="shared" si="7"/>
        <v>69000</v>
      </c>
      <c r="E72" s="105">
        <f t="shared" si="7"/>
        <v>78000</v>
      </c>
      <c r="F72" s="105">
        <f t="shared" si="7"/>
        <v>96000</v>
      </c>
      <c r="G72" s="105">
        <f t="shared" si="7"/>
        <v>132000</v>
      </c>
      <c r="H72" s="105">
        <f t="shared" si="7"/>
        <v>174000</v>
      </c>
    </row>
    <row r="73" spans="2:8" ht="20" customHeight="1" x14ac:dyDescent="0.2">
      <c r="B73" s="50"/>
      <c r="C73" s="105"/>
      <c r="D73" s="105"/>
      <c r="E73" s="105"/>
      <c r="F73" s="105"/>
      <c r="G73" s="105"/>
      <c r="H73" s="105"/>
    </row>
    <row r="74" spans="2:8" ht="20" customHeight="1" x14ac:dyDescent="0.2">
      <c r="B74" s="49" t="s">
        <v>12</v>
      </c>
      <c r="C74" s="103">
        <f>C162</f>
        <v>0</v>
      </c>
      <c r="D74" s="103">
        <f t="shared" ref="D74:H74" si="8">D162</f>
        <v>16200</v>
      </c>
      <c r="E74" s="103">
        <f t="shared" si="8"/>
        <v>14580</v>
      </c>
      <c r="F74" s="103">
        <f t="shared" si="8"/>
        <v>13122</v>
      </c>
      <c r="G74" s="103">
        <f t="shared" si="8"/>
        <v>11809.800000000001</v>
      </c>
      <c r="H74" s="103">
        <f t="shared" si="8"/>
        <v>10628.82</v>
      </c>
    </row>
    <row r="75" spans="2:8" ht="20" customHeight="1" x14ac:dyDescent="0.2">
      <c r="B75" s="49" t="s">
        <v>13</v>
      </c>
      <c r="C75" s="103">
        <f>C171</f>
        <v>0</v>
      </c>
      <c r="D75" s="103">
        <f t="shared" ref="D75:H75" si="9">D171</f>
        <v>16200</v>
      </c>
      <c r="E75" s="103">
        <f t="shared" si="9"/>
        <v>12960</v>
      </c>
      <c r="F75" s="103">
        <f t="shared" si="9"/>
        <v>9720</v>
      </c>
      <c r="G75" s="103">
        <f t="shared" si="9"/>
        <v>6480</v>
      </c>
      <c r="H75" s="103">
        <f t="shared" si="9"/>
        <v>3240</v>
      </c>
    </row>
    <row r="76" spans="2:8" ht="20" customHeight="1" x14ac:dyDescent="0.2">
      <c r="B76" s="50" t="s">
        <v>105</v>
      </c>
      <c r="C76" s="105">
        <f t="shared" ref="C76:H76" si="10">C72-C74-C75</f>
        <v>0</v>
      </c>
      <c r="D76" s="105">
        <f t="shared" si="10"/>
        <v>36600</v>
      </c>
      <c r="E76" s="105">
        <f>E72-E74-E75</f>
        <v>50460</v>
      </c>
      <c r="F76" s="105">
        <f t="shared" si="10"/>
        <v>73158</v>
      </c>
      <c r="G76" s="105">
        <f t="shared" si="10"/>
        <v>113710.2</v>
      </c>
      <c r="H76" s="105">
        <f t="shared" si="10"/>
        <v>160131.18</v>
      </c>
    </row>
    <row r="77" spans="2:8" ht="20" customHeight="1" x14ac:dyDescent="0.2">
      <c r="C77" s="103"/>
      <c r="D77" s="103"/>
      <c r="E77" s="103"/>
      <c r="F77" s="103"/>
      <c r="G77" s="103"/>
      <c r="H77" s="103"/>
    </row>
    <row r="78" spans="2:8" ht="20" customHeight="1" x14ac:dyDescent="0.2">
      <c r="B78" s="49" t="s">
        <v>14</v>
      </c>
      <c r="C78" s="103">
        <f t="shared" ref="C78:H78" si="11">C76*$C$18</f>
        <v>0</v>
      </c>
      <c r="D78" s="103">
        <f t="shared" si="11"/>
        <v>8052</v>
      </c>
      <c r="E78" s="103">
        <f t="shared" si="11"/>
        <v>11101.2</v>
      </c>
      <c r="F78" s="103">
        <f t="shared" si="11"/>
        <v>16094.76</v>
      </c>
      <c r="G78" s="103">
        <f t="shared" si="11"/>
        <v>25016.243999999999</v>
      </c>
      <c r="H78" s="103">
        <f t="shared" si="11"/>
        <v>35228.859599999996</v>
      </c>
    </row>
    <row r="79" spans="2:8" ht="20" customHeight="1" x14ac:dyDescent="0.2">
      <c r="B79" s="50" t="s">
        <v>106</v>
      </c>
      <c r="C79" s="105">
        <f t="shared" ref="C79:H79" si="12">C76-C78</f>
        <v>0</v>
      </c>
      <c r="D79" s="105">
        <f t="shared" si="12"/>
        <v>28548</v>
      </c>
      <c r="E79" s="105">
        <f>E76-E78</f>
        <v>39358.800000000003</v>
      </c>
      <c r="F79" s="105">
        <f t="shared" si="12"/>
        <v>57063.24</v>
      </c>
      <c r="G79" s="105">
        <f t="shared" si="12"/>
        <v>88693.956000000006</v>
      </c>
      <c r="H79" s="105">
        <f t="shared" si="12"/>
        <v>124902.3204</v>
      </c>
    </row>
    <row r="80" spans="2:8" ht="20" customHeight="1" x14ac:dyDescent="0.2">
      <c r="B80" s="50"/>
      <c r="C80" s="105"/>
      <c r="D80" s="105"/>
      <c r="E80" s="105"/>
      <c r="F80" s="105"/>
      <c r="G80" s="105"/>
      <c r="H80" s="105"/>
    </row>
    <row r="81" spans="2:8" ht="20" customHeight="1" x14ac:dyDescent="0.2">
      <c r="B81" s="49" t="s">
        <v>107</v>
      </c>
      <c r="C81" s="103">
        <f t="shared" ref="C81:H81" si="13">C74</f>
        <v>0</v>
      </c>
      <c r="D81" s="103">
        <f t="shared" si="13"/>
        <v>16200</v>
      </c>
      <c r="E81" s="103">
        <f t="shared" si="13"/>
        <v>14580</v>
      </c>
      <c r="F81" s="103">
        <f t="shared" si="13"/>
        <v>13122</v>
      </c>
      <c r="G81" s="103">
        <f t="shared" si="13"/>
        <v>11809.800000000001</v>
      </c>
      <c r="H81" s="103">
        <f t="shared" si="13"/>
        <v>10628.82</v>
      </c>
    </row>
    <row r="82" spans="2:8" ht="20" customHeight="1" x14ac:dyDescent="0.2">
      <c r="B82" s="49" t="s">
        <v>108</v>
      </c>
      <c r="C82" s="103">
        <f>C178</f>
        <v>0</v>
      </c>
      <c r="D82" s="103">
        <f t="shared" ref="D82:H82" si="14">D178</f>
        <v>7150.6849315068494</v>
      </c>
      <c r="E82" s="103">
        <f t="shared" si="14"/>
        <v>1430.1369863013688</v>
      </c>
      <c r="F82" s="103">
        <f t="shared" si="14"/>
        <v>2860.2739726027394</v>
      </c>
      <c r="G82" s="103">
        <f t="shared" si="14"/>
        <v>5720.5479452054788</v>
      </c>
      <c r="H82" s="103">
        <f t="shared" si="14"/>
        <v>6673.9726027397264</v>
      </c>
    </row>
    <row r="83" spans="2:8" ht="20" customHeight="1" thickBot="1" x14ac:dyDescent="0.25">
      <c r="B83" s="98" t="s">
        <v>109</v>
      </c>
      <c r="C83" s="102">
        <f t="shared" ref="C83:H83" si="15">C79+C81-C82</f>
        <v>0</v>
      </c>
      <c r="D83" s="102">
        <f t="shared" si="15"/>
        <v>37597.315068493153</v>
      </c>
      <c r="E83" s="102">
        <f t="shared" si="15"/>
        <v>52508.663013698635</v>
      </c>
      <c r="F83" s="102">
        <f t="shared" si="15"/>
        <v>67324.966027397255</v>
      </c>
      <c r="G83" s="102">
        <f t="shared" si="15"/>
        <v>94783.208054794522</v>
      </c>
      <c r="H83" s="102">
        <f t="shared" si="15"/>
        <v>128857.16779726028</v>
      </c>
    </row>
    <row r="84" spans="2:8" ht="20" customHeight="1" thickTop="1" x14ac:dyDescent="0.2">
      <c r="B84" s="50"/>
      <c r="C84" s="105"/>
      <c r="D84" s="105"/>
      <c r="E84" s="105"/>
      <c r="F84" s="105"/>
      <c r="G84" s="105"/>
      <c r="H84" s="105"/>
    </row>
    <row r="85" spans="2:8" s="69" customFormat="1" ht="20" customHeight="1" x14ac:dyDescent="0.2">
      <c r="B85" s="87" t="s">
        <v>88</v>
      </c>
      <c r="C85" s="109"/>
      <c r="D85" s="109"/>
      <c r="E85" s="109"/>
      <c r="F85" s="109"/>
      <c r="G85" s="109"/>
      <c r="H85" s="109"/>
    </row>
    <row r="86" spans="2:8" ht="20" customHeight="1" x14ac:dyDescent="0.2">
      <c r="C86" s="103"/>
      <c r="D86" s="103"/>
      <c r="E86" s="103"/>
      <c r="F86" s="103"/>
      <c r="G86" s="103"/>
      <c r="H86" s="103"/>
    </row>
    <row r="87" spans="2:8" ht="20" customHeight="1" x14ac:dyDescent="0.2">
      <c r="B87" s="50" t="s">
        <v>77</v>
      </c>
      <c r="C87" s="103"/>
      <c r="D87" s="103"/>
      <c r="E87" s="103"/>
      <c r="F87" s="103"/>
      <c r="G87" s="103"/>
      <c r="H87" s="103"/>
    </row>
    <row r="88" spans="2:8" ht="20" customHeight="1" x14ac:dyDescent="0.2">
      <c r="B88" s="70" t="s">
        <v>78</v>
      </c>
      <c r="C88" s="111">
        <v>80000</v>
      </c>
      <c r="D88" s="111">
        <v>0</v>
      </c>
      <c r="E88" s="111">
        <v>0</v>
      </c>
      <c r="F88" s="111">
        <v>0</v>
      </c>
      <c r="G88" s="111">
        <v>0</v>
      </c>
      <c r="H88" s="111">
        <v>0</v>
      </c>
    </row>
    <row r="89" spans="2:8" ht="20" customHeight="1" x14ac:dyDescent="0.2">
      <c r="B89" s="70" t="s">
        <v>79</v>
      </c>
      <c r="C89" s="111">
        <v>25000</v>
      </c>
      <c r="D89" s="111">
        <v>0</v>
      </c>
      <c r="E89" s="111">
        <v>0</v>
      </c>
      <c r="F89" s="111">
        <v>0</v>
      </c>
      <c r="G89" s="111">
        <v>0</v>
      </c>
      <c r="H89" s="111">
        <v>0</v>
      </c>
    </row>
    <row r="90" spans="2:8" ht="20" customHeight="1" x14ac:dyDescent="0.2">
      <c r="B90" s="70" t="s">
        <v>80</v>
      </c>
      <c r="C90" s="111">
        <v>20000</v>
      </c>
      <c r="D90" s="111">
        <v>0</v>
      </c>
      <c r="E90" s="111">
        <v>0</v>
      </c>
      <c r="F90" s="111">
        <v>0</v>
      </c>
      <c r="G90" s="111">
        <v>0</v>
      </c>
      <c r="H90" s="111">
        <v>0</v>
      </c>
    </row>
    <row r="91" spans="2:8" ht="20" customHeight="1" x14ac:dyDescent="0.2">
      <c r="B91" s="70" t="s">
        <v>81</v>
      </c>
      <c r="C91" s="111">
        <v>0</v>
      </c>
      <c r="D91" s="111">
        <v>0</v>
      </c>
      <c r="E91" s="111">
        <v>0</v>
      </c>
      <c r="F91" s="111">
        <v>0</v>
      </c>
      <c r="G91" s="111">
        <v>0</v>
      </c>
      <c r="H91" s="111">
        <v>0</v>
      </c>
    </row>
    <row r="92" spans="2:8" ht="20" customHeight="1" x14ac:dyDescent="0.2">
      <c r="B92" s="70" t="s">
        <v>82</v>
      </c>
      <c r="C92" s="111">
        <v>0</v>
      </c>
      <c r="D92" s="111">
        <v>0</v>
      </c>
      <c r="E92" s="111">
        <v>0</v>
      </c>
      <c r="F92" s="111">
        <v>0</v>
      </c>
      <c r="G92" s="111">
        <v>0</v>
      </c>
      <c r="H92" s="111">
        <v>0</v>
      </c>
    </row>
    <row r="93" spans="2:8" ht="20" customHeight="1" x14ac:dyDescent="0.2">
      <c r="B93" s="70"/>
      <c r="C93" s="112"/>
      <c r="D93" s="113"/>
      <c r="E93" s="113"/>
      <c r="F93" s="113"/>
      <c r="G93" s="113"/>
      <c r="H93" s="113"/>
    </row>
    <row r="94" spans="2:8" ht="20" customHeight="1" x14ac:dyDescent="0.2">
      <c r="B94" s="97" t="s">
        <v>83</v>
      </c>
      <c r="C94" s="112"/>
      <c r="D94" s="113"/>
      <c r="E94" s="113"/>
      <c r="F94" s="113"/>
      <c r="G94" s="113"/>
      <c r="H94" s="113"/>
    </row>
    <row r="95" spans="2:8" ht="20" customHeight="1" x14ac:dyDescent="0.2">
      <c r="B95" s="70" t="s">
        <v>84</v>
      </c>
      <c r="C95" s="111">
        <v>10000</v>
      </c>
      <c r="D95" s="111">
        <v>0</v>
      </c>
      <c r="E95" s="111">
        <v>0</v>
      </c>
      <c r="F95" s="111">
        <v>0</v>
      </c>
      <c r="G95" s="111">
        <v>0</v>
      </c>
      <c r="H95" s="111">
        <v>0</v>
      </c>
    </row>
    <row r="96" spans="2:8" ht="20" customHeight="1" x14ac:dyDescent="0.2">
      <c r="B96" s="70" t="s">
        <v>85</v>
      </c>
      <c r="C96" s="111">
        <v>0</v>
      </c>
      <c r="D96" s="111">
        <v>0</v>
      </c>
      <c r="E96" s="111">
        <v>0</v>
      </c>
      <c r="F96" s="111">
        <v>0</v>
      </c>
      <c r="G96" s="111">
        <v>0</v>
      </c>
      <c r="H96" s="111">
        <v>0</v>
      </c>
    </row>
    <row r="97" spans="2:11" ht="20" customHeight="1" x14ac:dyDescent="0.2">
      <c r="B97" s="70" t="s">
        <v>86</v>
      </c>
      <c r="C97" s="111">
        <v>0</v>
      </c>
      <c r="D97" s="111">
        <v>0</v>
      </c>
      <c r="E97" s="111">
        <v>0</v>
      </c>
      <c r="F97" s="111">
        <v>0</v>
      </c>
      <c r="G97" s="111">
        <v>0</v>
      </c>
      <c r="H97" s="111">
        <v>0</v>
      </c>
    </row>
    <row r="98" spans="2:11" ht="20" customHeight="1" x14ac:dyDescent="0.2">
      <c r="B98" s="70"/>
      <c r="C98" s="112"/>
      <c r="D98" s="112"/>
      <c r="E98" s="112"/>
      <c r="F98" s="112"/>
      <c r="G98" s="112"/>
      <c r="H98" s="112"/>
    </row>
    <row r="99" spans="2:11" ht="20" customHeight="1" x14ac:dyDescent="0.2">
      <c r="B99" s="70" t="s">
        <v>152</v>
      </c>
      <c r="C99" s="137">
        <f>$C$22*SUM(C88:C97)</f>
        <v>27000</v>
      </c>
      <c r="D99" s="137">
        <f t="shared" ref="D99:H99" si="16">$C$22*SUM(D88:D97)</f>
        <v>0</v>
      </c>
      <c r="E99" s="137">
        <f t="shared" si="16"/>
        <v>0</v>
      </c>
      <c r="F99" s="137">
        <f t="shared" si="16"/>
        <v>0</v>
      </c>
      <c r="G99" s="137">
        <f t="shared" si="16"/>
        <v>0</v>
      </c>
      <c r="H99" s="137">
        <f t="shared" si="16"/>
        <v>0</v>
      </c>
    </row>
    <row r="100" spans="2:11" ht="20" customHeight="1" x14ac:dyDescent="0.2">
      <c r="B100" s="50"/>
      <c r="C100" s="113"/>
      <c r="D100" s="113"/>
      <c r="E100" s="113"/>
      <c r="F100" s="113"/>
      <c r="G100" s="113"/>
      <c r="H100" s="113"/>
    </row>
    <row r="101" spans="2:11" ht="20" customHeight="1" thickBot="1" x14ac:dyDescent="0.25">
      <c r="B101" s="98" t="s">
        <v>119</v>
      </c>
      <c r="C101" s="114">
        <f>-SUM(C87:C100)</f>
        <v>-162000</v>
      </c>
      <c r="D101" s="114">
        <f t="shared" ref="D101:H101" si="17">-SUM(D87:D100)</f>
        <v>0</v>
      </c>
      <c r="E101" s="114">
        <f t="shared" si="17"/>
        <v>0</v>
      </c>
      <c r="F101" s="114">
        <f t="shared" si="17"/>
        <v>0</v>
      </c>
      <c r="G101" s="114">
        <f t="shared" si="17"/>
        <v>0</v>
      </c>
      <c r="H101" s="114">
        <f t="shared" si="17"/>
        <v>0</v>
      </c>
    </row>
    <row r="102" spans="2:11" ht="20" customHeight="1" thickTop="1" x14ac:dyDescent="0.2">
      <c r="C102" s="113"/>
      <c r="D102" s="113"/>
      <c r="E102" s="113"/>
      <c r="F102" s="113"/>
      <c r="G102" s="113"/>
      <c r="H102" s="113"/>
    </row>
    <row r="103" spans="2:11" s="69" customFormat="1" ht="20" customHeight="1" x14ac:dyDescent="0.2">
      <c r="B103" s="87" t="s">
        <v>9</v>
      </c>
      <c r="C103" s="115"/>
      <c r="D103" s="115"/>
      <c r="E103" s="115"/>
      <c r="F103" s="115"/>
      <c r="G103" s="115"/>
      <c r="H103" s="115"/>
    </row>
    <row r="104" spans="2:11" x14ac:dyDescent="0.2">
      <c r="C104" s="113"/>
      <c r="D104" s="113"/>
      <c r="E104" s="113"/>
      <c r="F104" s="113"/>
      <c r="G104" s="113"/>
      <c r="H104" s="113"/>
    </row>
    <row r="105" spans="2:11" ht="20" customHeight="1" x14ac:dyDescent="0.2">
      <c r="B105" s="50" t="s">
        <v>111</v>
      </c>
      <c r="C105" s="110"/>
      <c r="D105" s="110"/>
      <c r="E105" s="113"/>
      <c r="F105" s="113"/>
      <c r="G105" s="113"/>
      <c r="H105" s="113"/>
    </row>
    <row r="106" spans="2:11" ht="20" customHeight="1" x14ac:dyDescent="0.2">
      <c r="B106" s="49" t="s">
        <v>112</v>
      </c>
      <c r="C106" s="112">
        <f>C168</f>
        <v>0</v>
      </c>
      <c r="D106" s="112">
        <f t="shared" ref="D106:H106" si="18">D168</f>
        <v>32400</v>
      </c>
      <c r="E106" s="112">
        <f t="shared" si="18"/>
        <v>32400</v>
      </c>
      <c r="F106" s="112">
        <f t="shared" si="18"/>
        <v>32400</v>
      </c>
      <c r="G106" s="112">
        <f t="shared" si="18"/>
        <v>32400</v>
      </c>
      <c r="H106" s="112">
        <f t="shared" si="18"/>
        <v>32400</v>
      </c>
      <c r="I106" s="85"/>
      <c r="J106" s="85"/>
    </row>
    <row r="107" spans="2:11" ht="20" customHeight="1" x14ac:dyDescent="0.2">
      <c r="C107" s="113"/>
      <c r="D107" s="113"/>
      <c r="E107" s="113"/>
      <c r="F107" s="113"/>
      <c r="G107" s="113"/>
      <c r="H107" s="113"/>
    </row>
    <row r="108" spans="2:11" ht="20" customHeight="1" thickBot="1" x14ac:dyDescent="0.25">
      <c r="B108" s="98" t="s">
        <v>113</v>
      </c>
      <c r="C108" s="114">
        <f>-SUM(C106:C106)</f>
        <v>0</v>
      </c>
      <c r="D108" s="114">
        <f t="shared" ref="D108:H108" si="19">-SUM(D106:D106)</f>
        <v>-32400</v>
      </c>
      <c r="E108" s="114">
        <f t="shared" si="19"/>
        <v>-32400</v>
      </c>
      <c r="F108" s="114">
        <f t="shared" si="19"/>
        <v>-32400</v>
      </c>
      <c r="G108" s="114">
        <f t="shared" si="19"/>
        <v>-32400</v>
      </c>
      <c r="H108" s="114">
        <f t="shared" si="19"/>
        <v>-32400</v>
      </c>
      <c r="I108" s="86"/>
      <c r="J108" s="86"/>
    </row>
    <row r="109" spans="2:11" ht="20" customHeight="1" thickTop="1" x14ac:dyDescent="0.2">
      <c r="C109" s="113"/>
      <c r="D109" s="113"/>
      <c r="E109" s="113"/>
      <c r="F109" s="113"/>
      <c r="G109" s="113"/>
      <c r="H109" s="113"/>
    </row>
    <row r="110" spans="2:11" s="69" customFormat="1" ht="20" customHeight="1" x14ac:dyDescent="0.2">
      <c r="B110" s="87" t="s">
        <v>114</v>
      </c>
      <c r="C110" s="115"/>
      <c r="D110" s="115"/>
      <c r="E110" s="115"/>
      <c r="F110" s="115"/>
      <c r="G110" s="115"/>
      <c r="H110" s="115"/>
    </row>
    <row r="111" spans="2:11" ht="20" customHeight="1" x14ac:dyDescent="0.2">
      <c r="B111" s="50"/>
      <c r="C111" s="110"/>
      <c r="D111" s="110"/>
      <c r="E111" s="110"/>
      <c r="F111" s="110"/>
      <c r="G111" s="110"/>
      <c r="H111" s="110"/>
      <c r="I111" s="86"/>
      <c r="J111" s="86"/>
      <c r="K111" s="86"/>
    </row>
    <row r="112" spans="2:11" ht="20" customHeight="1" x14ac:dyDescent="0.2">
      <c r="B112" s="49" t="s">
        <v>109</v>
      </c>
      <c r="C112" s="113">
        <f t="shared" ref="C112:H112" si="20">C83</f>
        <v>0</v>
      </c>
      <c r="D112" s="113">
        <f t="shared" si="20"/>
        <v>37597.315068493153</v>
      </c>
      <c r="E112" s="113">
        <f t="shared" si="20"/>
        <v>52508.663013698635</v>
      </c>
      <c r="F112" s="113">
        <f t="shared" si="20"/>
        <v>67324.966027397255</v>
      </c>
      <c r="G112" s="113">
        <f t="shared" si="20"/>
        <v>94783.208054794522</v>
      </c>
      <c r="H112" s="113">
        <f t="shared" si="20"/>
        <v>128857.16779726028</v>
      </c>
      <c r="I112" s="76"/>
      <c r="J112" s="76"/>
      <c r="K112" s="86"/>
    </row>
    <row r="113" spans="2:11" ht="20" customHeight="1" x14ac:dyDescent="0.2">
      <c r="B113" s="49" t="s">
        <v>110</v>
      </c>
      <c r="C113" s="113">
        <f t="shared" ref="C113:H113" si="21">C101</f>
        <v>-162000</v>
      </c>
      <c r="D113" s="113">
        <f t="shared" si="21"/>
        <v>0</v>
      </c>
      <c r="E113" s="113">
        <f t="shared" si="21"/>
        <v>0</v>
      </c>
      <c r="F113" s="113">
        <f t="shared" si="21"/>
        <v>0</v>
      </c>
      <c r="G113" s="113">
        <f t="shared" si="21"/>
        <v>0</v>
      </c>
      <c r="H113" s="113">
        <f t="shared" si="21"/>
        <v>0</v>
      </c>
      <c r="I113" s="76"/>
      <c r="J113" s="76"/>
      <c r="K113" s="86"/>
    </row>
    <row r="114" spans="2:11" ht="23" customHeight="1" x14ac:dyDescent="0.2">
      <c r="B114" s="49" t="s">
        <v>113</v>
      </c>
      <c r="C114" s="113">
        <f>C108</f>
        <v>0</v>
      </c>
      <c r="D114" s="113">
        <f t="shared" ref="D114:H114" si="22">D108</f>
        <v>-32400</v>
      </c>
      <c r="E114" s="113">
        <f t="shared" si="22"/>
        <v>-32400</v>
      </c>
      <c r="F114" s="113">
        <f t="shared" si="22"/>
        <v>-32400</v>
      </c>
      <c r="G114" s="113">
        <f t="shared" si="22"/>
        <v>-32400</v>
      </c>
      <c r="H114" s="113">
        <f t="shared" si="22"/>
        <v>-32400</v>
      </c>
      <c r="I114" s="86" t="s">
        <v>153</v>
      </c>
      <c r="J114" s="76"/>
      <c r="K114" s="51"/>
    </row>
    <row r="115" spans="2:11" ht="20" customHeight="1" thickBot="1" x14ac:dyDescent="0.25">
      <c r="B115" s="116" t="s">
        <v>114</v>
      </c>
      <c r="C115" s="117">
        <f t="shared" ref="C115" si="23">C112+C113+C114</f>
        <v>-162000</v>
      </c>
      <c r="D115" s="117">
        <f>D112+D113+D114</f>
        <v>5197.3150684931534</v>
      </c>
      <c r="E115" s="117">
        <f t="shared" ref="E115:H115" si="24">E112+E113+E114</f>
        <v>20108.663013698635</v>
      </c>
      <c r="F115" s="117">
        <f t="shared" si="24"/>
        <v>34924.966027397255</v>
      </c>
      <c r="G115" s="117">
        <f t="shared" si="24"/>
        <v>62383.208054794522</v>
      </c>
      <c r="H115" s="117">
        <f t="shared" si="24"/>
        <v>96457.167797260277</v>
      </c>
      <c r="I115" s="117">
        <f>H115*(1+C35)/(C34-C35)</f>
        <v>2025600.5237424658</v>
      </c>
      <c r="J115" s="86"/>
      <c r="K115" s="86"/>
    </row>
    <row r="116" spans="2:11" ht="20" customHeight="1" thickTop="1" x14ac:dyDescent="0.2">
      <c r="B116" s="50"/>
      <c r="C116" s="91"/>
      <c r="D116" s="91"/>
      <c r="E116" s="86"/>
      <c r="F116" s="86"/>
      <c r="G116" s="86"/>
      <c r="H116" s="86"/>
      <c r="I116" s="105"/>
      <c r="J116" s="86"/>
    </row>
    <row r="117" spans="2:11" ht="20" customHeight="1" x14ac:dyDescent="0.2">
      <c r="B117" s="21" t="s">
        <v>115</v>
      </c>
      <c r="C117" s="118">
        <f>C115</f>
        <v>-162000</v>
      </c>
      <c r="D117" s="118">
        <f>C117+D115</f>
        <v>-156802.68493150684</v>
      </c>
      <c r="E117" s="118">
        <f t="shared" ref="E117:H117" si="25">D117+E115</f>
        <v>-136694.02191780822</v>
      </c>
      <c r="F117" s="118">
        <f t="shared" si="25"/>
        <v>-101769.05589041096</v>
      </c>
      <c r="G117" s="118">
        <f t="shared" si="25"/>
        <v>-39385.847835616441</v>
      </c>
      <c r="H117" s="118">
        <f t="shared" si="25"/>
        <v>57071.319961643836</v>
      </c>
      <c r="I117" s="118">
        <f>I115+H117</f>
        <v>2082671.8437041095</v>
      </c>
      <c r="J117" s="86"/>
      <c r="K117" s="86"/>
    </row>
    <row r="118" spans="2:11" ht="20" customHeight="1" x14ac:dyDescent="0.2">
      <c r="B118" s="92"/>
      <c r="C118" s="93"/>
      <c r="D118" s="93"/>
      <c r="E118" s="86"/>
      <c r="F118" s="86"/>
      <c r="G118" s="86"/>
      <c r="H118" s="86"/>
      <c r="I118" s="86"/>
      <c r="J118" s="86"/>
      <c r="K118" s="86"/>
    </row>
    <row r="119" spans="2:11" ht="20" customHeight="1" x14ac:dyDescent="0.2">
      <c r="B119" s="92"/>
      <c r="C119" s="93"/>
      <c r="D119" s="93"/>
      <c r="E119" s="86"/>
      <c r="F119" s="86"/>
      <c r="G119" s="86"/>
      <c r="H119" s="86"/>
      <c r="I119" s="86"/>
      <c r="J119" s="86"/>
      <c r="K119" s="86"/>
    </row>
    <row r="120" spans="2:11" ht="20" customHeight="1" x14ac:dyDescent="0.2">
      <c r="B120" s="92"/>
      <c r="C120" s="93"/>
      <c r="D120" s="93"/>
      <c r="E120" s="86"/>
      <c r="F120" s="86"/>
      <c r="G120" s="86"/>
      <c r="H120" s="86"/>
      <c r="I120" s="86"/>
      <c r="J120" s="86"/>
      <c r="K120" s="86"/>
    </row>
    <row r="121" spans="2:11" ht="20" customHeight="1" x14ac:dyDescent="0.2">
      <c r="B121" s="92"/>
      <c r="C121" s="93"/>
      <c r="D121" s="93"/>
      <c r="E121" s="86"/>
      <c r="F121" s="86"/>
      <c r="G121" s="86"/>
      <c r="H121" s="86"/>
      <c r="I121" s="86"/>
      <c r="J121" s="86"/>
      <c r="K121" s="86"/>
    </row>
    <row r="122" spans="2:11" ht="20" customHeight="1" x14ac:dyDescent="0.2">
      <c r="B122" s="92"/>
      <c r="C122" s="93"/>
      <c r="D122" s="93"/>
      <c r="E122" s="86"/>
      <c r="F122" s="86"/>
      <c r="G122" s="86"/>
      <c r="H122" s="86"/>
      <c r="I122" s="86"/>
      <c r="J122" s="86"/>
      <c r="K122" s="86"/>
    </row>
    <row r="123" spans="2:11" ht="20" customHeight="1" x14ac:dyDescent="0.2">
      <c r="B123" s="92"/>
      <c r="C123" s="93"/>
      <c r="D123" s="93"/>
      <c r="E123" s="86"/>
      <c r="F123" s="86"/>
      <c r="G123" s="86"/>
      <c r="H123" s="86"/>
      <c r="I123" s="86"/>
      <c r="J123" s="86"/>
      <c r="K123" s="86"/>
    </row>
    <row r="124" spans="2:11" ht="20" customHeight="1" x14ac:dyDescent="0.2">
      <c r="B124" s="92"/>
      <c r="C124" s="93"/>
      <c r="D124" s="93"/>
      <c r="E124" s="86"/>
      <c r="F124" s="86"/>
      <c r="G124" s="86"/>
      <c r="H124" s="86"/>
      <c r="I124" s="86"/>
      <c r="J124" s="86"/>
      <c r="K124" s="86"/>
    </row>
    <row r="125" spans="2:11" ht="20" customHeight="1" x14ac:dyDescent="0.2">
      <c r="B125" s="92"/>
      <c r="C125" s="93"/>
      <c r="D125" s="93"/>
      <c r="E125" s="86"/>
      <c r="F125" s="86"/>
      <c r="G125" s="86"/>
      <c r="H125" s="86"/>
      <c r="I125" s="86"/>
      <c r="J125" s="86"/>
      <c r="K125" s="86"/>
    </row>
    <row r="126" spans="2:11" ht="20" customHeight="1" x14ac:dyDescent="0.2">
      <c r="B126" s="92"/>
      <c r="C126" s="93"/>
      <c r="D126" s="93"/>
      <c r="E126" s="86"/>
      <c r="F126" s="86"/>
      <c r="G126" s="86"/>
      <c r="H126" s="86"/>
      <c r="I126" s="86"/>
      <c r="J126" s="86"/>
      <c r="K126" s="86"/>
    </row>
    <row r="127" spans="2:11" ht="20" customHeight="1" x14ac:dyDescent="0.2">
      <c r="B127" s="92"/>
      <c r="C127" s="93"/>
      <c r="D127" s="93"/>
      <c r="E127" s="86"/>
      <c r="F127" s="86"/>
      <c r="G127" s="86"/>
      <c r="H127" s="86"/>
      <c r="I127" s="86"/>
      <c r="J127" s="86"/>
      <c r="K127" s="86"/>
    </row>
    <row r="128" spans="2:11" ht="20" customHeight="1" x14ac:dyDescent="0.2">
      <c r="B128" s="92"/>
      <c r="C128" s="93"/>
      <c r="D128" s="93"/>
      <c r="E128" s="86"/>
      <c r="F128" s="86"/>
      <c r="G128" s="86"/>
      <c r="H128" s="86"/>
      <c r="I128" s="86"/>
      <c r="J128" s="86"/>
      <c r="K128" s="86"/>
    </row>
    <row r="129" spans="2:12" ht="20" customHeight="1" x14ac:dyDescent="0.2">
      <c r="B129" s="92"/>
      <c r="C129" s="93"/>
      <c r="D129" s="93"/>
      <c r="E129" s="86"/>
      <c r="F129" s="86"/>
      <c r="G129" s="86"/>
      <c r="H129" s="86"/>
      <c r="I129" s="86"/>
      <c r="J129" s="86"/>
      <c r="K129" s="86"/>
    </row>
    <row r="130" spans="2:12" ht="20" customHeight="1" x14ac:dyDescent="0.2">
      <c r="B130" s="92"/>
      <c r="C130" s="93"/>
      <c r="D130" s="93"/>
      <c r="E130" s="86"/>
      <c r="F130" s="86"/>
      <c r="G130" s="86"/>
      <c r="H130" s="86"/>
      <c r="I130" s="86"/>
      <c r="J130" s="86"/>
      <c r="K130" s="86"/>
    </row>
    <row r="131" spans="2:12" ht="20" customHeight="1" x14ac:dyDescent="0.2">
      <c r="B131" s="92"/>
      <c r="C131" s="93"/>
      <c r="D131" s="93"/>
      <c r="E131" s="86"/>
      <c r="F131" s="86"/>
      <c r="G131" s="86"/>
      <c r="H131" s="86"/>
      <c r="I131" s="86"/>
      <c r="J131" s="86"/>
      <c r="K131" s="86"/>
    </row>
    <row r="132" spans="2:12" ht="20" customHeight="1" x14ac:dyDescent="0.2">
      <c r="B132" s="92"/>
      <c r="C132" s="93"/>
      <c r="D132" s="93"/>
      <c r="E132" s="86"/>
      <c r="F132" s="86"/>
      <c r="G132" s="86"/>
      <c r="H132" s="86"/>
      <c r="I132" s="86"/>
      <c r="J132" s="86"/>
      <c r="K132" s="86"/>
    </row>
    <row r="133" spans="2:12" ht="20" customHeight="1" x14ac:dyDescent="0.2">
      <c r="B133" s="92"/>
      <c r="C133" s="93"/>
      <c r="D133" s="93"/>
      <c r="E133" s="86"/>
      <c r="F133" s="86"/>
      <c r="G133" s="86"/>
      <c r="H133" s="86"/>
      <c r="I133" s="86"/>
      <c r="J133" s="86"/>
      <c r="K133" s="86"/>
    </row>
    <row r="134" spans="2:12" ht="20" customHeight="1" x14ac:dyDescent="0.2">
      <c r="B134" s="92"/>
      <c r="C134" s="93"/>
      <c r="D134" s="93"/>
      <c r="E134" s="86"/>
      <c r="F134" s="86"/>
      <c r="G134" s="86"/>
      <c r="H134" s="86"/>
      <c r="I134" s="86"/>
      <c r="J134" s="86"/>
      <c r="K134" s="86"/>
    </row>
    <row r="135" spans="2:12" ht="20" customHeight="1" x14ac:dyDescent="0.2">
      <c r="B135" s="92"/>
      <c r="C135" s="93"/>
      <c r="D135" s="93"/>
      <c r="E135" s="86"/>
      <c r="F135" s="86"/>
      <c r="G135" s="86"/>
      <c r="H135" s="86"/>
      <c r="I135" s="86"/>
      <c r="J135" s="86"/>
      <c r="K135" s="86"/>
    </row>
    <row r="136" spans="2:12" ht="20" customHeight="1" x14ac:dyDescent="0.2">
      <c r="B136" s="92"/>
      <c r="C136" s="93"/>
      <c r="D136" s="93"/>
      <c r="E136" s="86"/>
      <c r="F136" s="86"/>
      <c r="G136" s="86"/>
      <c r="H136" s="86"/>
      <c r="I136" s="86"/>
      <c r="J136" s="86"/>
      <c r="K136" s="86"/>
    </row>
    <row r="137" spans="2:12" ht="20" customHeight="1" x14ac:dyDescent="0.2">
      <c r="B137" s="92"/>
      <c r="C137" s="93"/>
      <c r="D137" s="93"/>
      <c r="E137" s="86"/>
      <c r="F137" s="86"/>
      <c r="G137" s="86"/>
      <c r="H137" s="86"/>
      <c r="I137" s="86"/>
      <c r="J137" s="86"/>
      <c r="K137" s="86"/>
    </row>
    <row r="138" spans="2:12" ht="20" customHeight="1" x14ac:dyDescent="0.2">
      <c r="B138" s="92"/>
      <c r="C138" s="93"/>
      <c r="D138" s="93"/>
      <c r="E138" s="86"/>
      <c r="F138" s="86"/>
      <c r="G138" s="86"/>
      <c r="H138" s="86"/>
      <c r="I138" s="86"/>
      <c r="J138" s="86"/>
      <c r="K138" s="86"/>
    </row>
    <row r="139" spans="2:12" ht="20" customHeight="1" x14ac:dyDescent="0.2">
      <c r="B139" s="92"/>
      <c r="C139" s="93"/>
      <c r="D139" s="93"/>
      <c r="E139" s="86"/>
      <c r="F139" s="86"/>
      <c r="G139" s="86"/>
      <c r="H139" s="86"/>
      <c r="I139" s="86"/>
      <c r="J139" s="86"/>
      <c r="K139" s="86"/>
    </row>
    <row r="140" spans="2:12" ht="20" customHeight="1" x14ac:dyDescent="0.2">
      <c r="B140" s="92"/>
      <c r="C140" s="93"/>
      <c r="D140" s="93"/>
      <c r="E140" s="86"/>
      <c r="F140" s="86"/>
      <c r="G140" s="86"/>
      <c r="H140" s="86"/>
      <c r="I140" s="86"/>
      <c r="J140" s="86"/>
      <c r="K140" s="86"/>
    </row>
    <row r="141" spans="2:12" s="58" customFormat="1" ht="20" customHeight="1" x14ac:dyDescent="0.2">
      <c r="B141" s="61" t="s">
        <v>135</v>
      </c>
      <c r="C141" s="64" t="s">
        <v>4</v>
      </c>
      <c r="D141" s="65" t="s">
        <v>35</v>
      </c>
      <c r="E141" s="65" t="s">
        <v>36</v>
      </c>
      <c r="F141" s="65" t="s">
        <v>37</v>
      </c>
      <c r="G141" s="65" t="s">
        <v>38</v>
      </c>
      <c r="H141" s="65" t="s">
        <v>39</v>
      </c>
      <c r="I141" s="65" t="s">
        <v>5</v>
      </c>
      <c r="L141" s="73"/>
    </row>
    <row r="142" spans="2:12" s="31" customFormat="1" ht="20" customHeight="1" x14ac:dyDescent="0.2">
      <c r="B142" s="62"/>
      <c r="C142" s="128"/>
      <c r="D142" s="129"/>
      <c r="E142" s="129"/>
      <c r="F142" s="129"/>
      <c r="G142" s="129"/>
      <c r="H142" s="129"/>
      <c r="I142" s="128"/>
      <c r="L142" s="82"/>
    </row>
    <row r="143" spans="2:12" ht="20" customHeight="1" x14ac:dyDescent="0.2">
      <c r="B143" s="130" t="s">
        <v>136</v>
      </c>
      <c r="C143" s="138">
        <f t="shared" ref="C143:I143" si="26">C13</f>
        <v>0</v>
      </c>
      <c r="D143" s="138">
        <f t="shared" si="26"/>
        <v>1</v>
      </c>
      <c r="E143" s="138">
        <f t="shared" si="26"/>
        <v>2</v>
      </c>
      <c r="F143" s="138">
        <f t="shared" si="26"/>
        <v>3</v>
      </c>
      <c r="G143" s="138">
        <f t="shared" si="26"/>
        <v>4</v>
      </c>
      <c r="H143" s="138">
        <f t="shared" si="26"/>
        <v>5</v>
      </c>
      <c r="I143" s="138">
        <f t="shared" si="26"/>
        <v>6</v>
      </c>
      <c r="J143" s="90"/>
    </row>
    <row r="144" spans="2:12" ht="20" customHeight="1" x14ac:dyDescent="0.2">
      <c r="B144" s="49" t="s">
        <v>114</v>
      </c>
      <c r="C144" s="103">
        <f t="shared" ref="C144:I144" si="27">C115</f>
        <v>-162000</v>
      </c>
      <c r="D144" s="103">
        <f t="shared" si="27"/>
        <v>5197.3150684931534</v>
      </c>
      <c r="E144" s="103">
        <f t="shared" si="27"/>
        <v>20108.663013698635</v>
      </c>
      <c r="F144" s="103">
        <f t="shared" si="27"/>
        <v>34924.966027397255</v>
      </c>
      <c r="G144" s="103">
        <f t="shared" si="27"/>
        <v>62383.208054794522</v>
      </c>
      <c r="H144" s="103">
        <f t="shared" si="27"/>
        <v>96457.167797260277</v>
      </c>
      <c r="I144" s="103">
        <f t="shared" si="27"/>
        <v>2025600.5237424658</v>
      </c>
      <c r="J144" s="90"/>
      <c r="K144" s="90"/>
    </row>
    <row r="145" spans="2:12" ht="20" customHeight="1" x14ac:dyDescent="0.2">
      <c r="B145" s="49" t="s">
        <v>137</v>
      </c>
      <c r="C145" s="103">
        <f>C144/((1+$C$34)^C143)</f>
        <v>-162000</v>
      </c>
      <c r="D145" s="103">
        <f>D144/((1+$C$34)^D143)</f>
        <v>4724.8318804483206</v>
      </c>
      <c r="E145" s="103">
        <f>E144/((1+$C$34)^E143)</f>
        <v>16618.729763387299</v>
      </c>
      <c r="F145" s="103">
        <f>F144/((1+$C$34)^F143)</f>
        <v>26239.643897368329</v>
      </c>
      <c r="G145" s="103">
        <f>G144/((1+$C$34)^G143)</f>
        <v>42608.570490263308</v>
      </c>
      <c r="H145" s="103">
        <f>H144/((1+$C$34)^H143)</f>
        <v>59892.312247213769</v>
      </c>
      <c r="I145" s="103">
        <f>I144/((1+$C$34)^I143)</f>
        <v>1143398.688355899</v>
      </c>
      <c r="J145" s="90"/>
      <c r="K145" s="90"/>
    </row>
    <row r="146" spans="2:12" ht="20" customHeight="1" thickBot="1" x14ac:dyDescent="0.25">
      <c r="B146" s="98" t="s">
        <v>138</v>
      </c>
      <c r="C146" s="102">
        <f>C145</f>
        <v>-162000</v>
      </c>
      <c r="D146" s="102">
        <f>C146+D145</f>
        <v>-157275.16811955167</v>
      </c>
      <c r="E146" s="102">
        <f t="shared" ref="E146:I146" si="28">D146+E145</f>
        <v>-140656.43835616438</v>
      </c>
      <c r="F146" s="102">
        <f t="shared" si="28"/>
        <v>-114416.79445879605</v>
      </c>
      <c r="G146" s="102">
        <f t="shared" si="28"/>
        <v>-71808.223968532751</v>
      </c>
      <c r="H146" s="102">
        <f t="shared" si="28"/>
        <v>-11915.911721318982</v>
      </c>
      <c r="I146" s="102">
        <f t="shared" si="28"/>
        <v>1131482.77663458</v>
      </c>
      <c r="J146" s="90"/>
    </row>
    <row r="147" spans="2:12" ht="20" customHeight="1" thickTop="1" x14ac:dyDescent="0.2">
      <c r="E147" s="90"/>
      <c r="F147" s="90"/>
      <c r="G147" s="90"/>
      <c r="H147" s="90"/>
      <c r="I147" s="90"/>
      <c r="J147" s="90"/>
    </row>
    <row r="148" spans="2:12" ht="20" customHeight="1" x14ac:dyDescent="0.2">
      <c r="B148" s="131" t="s">
        <v>139</v>
      </c>
      <c r="C148" s="176">
        <f>NPV(C34,D144:I144)+C144</f>
        <v>1131482.7766345798</v>
      </c>
      <c r="E148" s="90"/>
      <c r="F148" s="90"/>
      <c r="G148" s="90"/>
      <c r="H148" s="90"/>
      <c r="I148" s="90"/>
      <c r="J148" s="90"/>
      <c r="K148" s="90"/>
    </row>
    <row r="149" spans="2:12" ht="20" customHeight="1" x14ac:dyDescent="0.2">
      <c r="B149" s="131"/>
    </row>
    <row r="150" spans="2:12" ht="20" customHeight="1" x14ac:dyDescent="0.2">
      <c r="B150" s="131" t="s">
        <v>140</v>
      </c>
      <c r="C150" s="133">
        <f>IRR(C144:I144)</f>
        <v>0.59458994416848232</v>
      </c>
      <c r="D150" s="50"/>
    </row>
    <row r="151" spans="2:12" ht="20" customHeight="1" x14ac:dyDescent="0.2">
      <c r="B151" s="131"/>
      <c r="E151" s="76"/>
      <c r="F151" s="76"/>
      <c r="G151" s="76"/>
      <c r="H151" s="76"/>
      <c r="I151" s="76"/>
      <c r="J151" s="76"/>
      <c r="K151" s="86"/>
    </row>
    <row r="152" spans="2:12" ht="20" customHeight="1" x14ac:dyDescent="0.2">
      <c r="B152" s="131" t="s">
        <v>54</v>
      </c>
      <c r="C152" s="139" t="str" cm="1">
        <f t="array" ref="C152">ROUND(IFERROR(COUNTIF(D146:I146,"&lt;"&amp;0)+INDEX(D152:I152,,COUNTIF(D146:I146,"&lt;"&amp;0)+1),"&gt; Nil"),2) &amp;" years"</f>
        <v>5.99 years</v>
      </c>
      <c r="D152" s="49" t="str">
        <f>IF(D146&lt;0," - ",D146/D145)</f>
        <v xml:space="preserve"> - </v>
      </c>
      <c r="E152" s="49" t="str">
        <f t="shared" ref="E152:I152" si="29">IF(E146&lt;0," - ",E146/E145)</f>
        <v xml:space="preserve"> - </v>
      </c>
      <c r="F152" s="49" t="str">
        <f t="shared" si="29"/>
        <v xml:space="preserve"> - </v>
      </c>
      <c r="G152" s="49" t="str">
        <f t="shared" si="29"/>
        <v xml:space="preserve"> - </v>
      </c>
      <c r="H152" s="49" t="str">
        <f t="shared" si="29"/>
        <v xml:space="preserve"> - </v>
      </c>
      <c r="I152" s="49">
        <f t="shared" si="29"/>
        <v>0.98957851548837006</v>
      </c>
      <c r="J152" s="76"/>
    </row>
    <row r="153" spans="2:12" ht="20" customHeight="1" x14ac:dyDescent="0.2">
      <c r="B153" s="131"/>
      <c r="E153" s="76"/>
      <c r="F153" s="76"/>
      <c r="G153" s="76"/>
      <c r="H153" s="76"/>
      <c r="I153" s="76"/>
      <c r="J153" s="76"/>
    </row>
    <row r="154" spans="2:12" ht="20" customHeight="1" x14ac:dyDescent="0.2">
      <c r="B154" s="132" t="s">
        <v>141</v>
      </c>
      <c r="C154" s="133">
        <f>ABS(C148/SUM(C101:H101))-1</f>
        <v>5.9844615841640723</v>
      </c>
      <c r="E154" s="90"/>
      <c r="F154" s="90"/>
      <c r="G154" s="90"/>
      <c r="H154" s="90"/>
      <c r="I154" s="90"/>
      <c r="J154" s="90"/>
    </row>
    <row r="155" spans="2:12" ht="20" customHeight="1" x14ac:dyDescent="0.2">
      <c r="B155" s="92"/>
      <c r="C155" s="93"/>
      <c r="D155" s="93"/>
      <c r="E155" s="86"/>
      <c r="F155" s="86"/>
      <c r="G155" s="86"/>
      <c r="H155" s="86"/>
      <c r="I155" s="86"/>
      <c r="J155" s="86"/>
      <c r="K155" s="86"/>
    </row>
    <row r="156" spans="2:12" ht="20" customHeight="1" x14ac:dyDescent="0.2">
      <c r="B156" s="92"/>
      <c r="C156" s="93"/>
      <c r="D156" s="93"/>
      <c r="E156" s="86"/>
      <c r="F156" s="86"/>
      <c r="G156" s="86"/>
      <c r="H156" s="86"/>
      <c r="I156" s="86"/>
      <c r="J156" s="86"/>
      <c r="K156" s="86"/>
    </row>
    <row r="157" spans="2:12" s="58" customFormat="1" ht="20" customHeight="1" x14ac:dyDescent="0.2">
      <c r="B157" s="61" t="s">
        <v>118</v>
      </c>
      <c r="C157" s="64" t="s">
        <v>4</v>
      </c>
      <c r="D157" s="65" t="s">
        <v>35</v>
      </c>
      <c r="E157" s="65" t="s">
        <v>36</v>
      </c>
      <c r="F157" s="65" t="s">
        <v>37</v>
      </c>
      <c r="G157" s="65" t="s">
        <v>38</v>
      </c>
      <c r="H157" s="65" t="s">
        <v>39</v>
      </c>
      <c r="I157" s="65" t="s">
        <v>5</v>
      </c>
      <c r="L157" s="73"/>
    </row>
    <row r="158" spans="2:12" ht="20" customHeight="1" x14ac:dyDescent="0.2">
      <c r="B158" s="92"/>
      <c r="C158" s="93"/>
      <c r="D158" s="93"/>
      <c r="E158" s="86"/>
      <c r="F158" s="86"/>
      <c r="G158" s="86"/>
      <c r="H158" s="86"/>
      <c r="I158" s="86"/>
      <c r="J158" s="86"/>
      <c r="K158" s="86"/>
    </row>
    <row r="159" spans="2:12" s="89" customFormat="1" ht="20" customHeight="1" x14ac:dyDescent="0.2">
      <c r="B159" s="123" t="s">
        <v>120</v>
      </c>
      <c r="C159" s="124"/>
      <c r="D159" s="124"/>
      <c r="E159" s="125"/>
      <c r="F159" s="125"/>
      <c r="G159" s="125"/>
      <c r="H159" s="125"/>
      <c r="I159" s="125"/>
      <c r="J159" s="125"/>
      <c r="K159" s="125"/>
    </row>
    <row r="160" spans="2:12" ht="20" customHeight="1" x14ac:dyDescent="0.2">
      <c r="B160" s="49" t="s">
        <v>121</v>
      </c>
      <c r="C160" s="85">
        <v>0</v>
      </c>
      <c r="D160" s="90">
        <f>C163</f>
        <v>162000</v>
      </c>
      <c r="E160" s="90">
        <f t="shared" ref="E160:H160" si="30">D163</f>
        <v>145800</v>
      </c>
      <c r="F160" s="90">
        <f t="shared" si="30"/>
        <v>131220</v>
      </c>
      <c r="G160" s="90">
        <f t="shared" si="30"/>
        <v>118098</v>
      </c>
      <c r="H160" s="90">
        <f t="shared" si="30"/>
        <v>106288.2</v>
      </c>
      <c r="I160" s="90">
        <f>H163</f>
        <v>95659.38</v>
      </c>
      <c r="J160" s="86"/>
      <c r="K160" s="86"/>
    </row>
    <row r="161" spans="2:12" ht="20" customHeight="1" x14ac:dyDescent="0.2">
      <c r="B161" s="49" t="s">
        <v>122</v>
      </c>
      <c r="C161" s="76">
        <f t="shared" ref="C161:H161" si="31">-C101</f>
        <v>162000</v>
      </c>
      <c r="D161" s="76">
        <f>-D101</f>
        <v>0</v>
      </c>
      <c r="E161" s="76">
        <f t="shared" si="31"/>
        <v>0</v>
      </c>
      <c r="F161" s="76">
        <f t="shared" si="31"/>
        <v>0</v>
      </c>
      <c r="G161" s="76">
        <f t="shared" si="31"/>
        <v>0</v>
      </c>
      <c r="H161" s="76">
        <f t="shared" si="31"/>
        <v>0</v>
      </c>
      <c r="I161" s="50"/>
      <c r="J161" s="86"/>
      <c r="K161" s="86"/>
    </row>
    <row r="162" spans="2:12" ht="20" customHeight="1" x14ac:dyDescent="0.2">
      <c r="B162" s="49" t="s">
        <v>123</v>
      </c>
      <c r="C162" s="90">
        <v>0</v>
      </c>
      <c r="D162" s="90">
        <f>D160*$C$19</f>
        <v>16200</v>
      </c>
      <c r="E162" s="90">
        <f>E160*$C$19</f>
        <v>14580</v>
      </c>
      <c r="F162" s="90">
        <f>F160*$C$19</f>
        <v>13122</v>
      </c>
      <c r="G162" s="90">
        <f>G160*$C$19</f>
        <v>11809.800000000001</v>
      </c>
      <c r="H162" s="90">
        <f>H160*$C$19</f>
        <v>10628.82</v>
      </c>
      <c r="J162" s="86"/>
      <c r="K162" s="86"/>
    </row>
    <row r="163" spans="2:12" ht="20" customHeight="1" thickBot="1" x14ac:dyDescent="0.25">
      <c r="B163" s="99" t="s">
        <v>125</v>
      </c>
      <c r="C163" s="126">
        <f t="shared" ref="C163:H163" si="32">C160+C161-C162</f>
        <v>162000</v>
      </c>
      <c r="D163" s="126">
        <f>D160+D161-D162</f>
        <v>145800</v>
      </c>
      <c r="E163" s="126">
        <f t="shared" si="32"/>
        <v>131220</v>
      </c>
      <c r="F163" s="126">
        <f t="shared" si="32"/>
        <v>118098</v>
      </c>
      <c r="G163" s="126">
        <f t="shared" si="32"/>
        <v>106288.2</v>
      </c>
      <c r="H163" s="126">
        <f t="shared" si="32"/>
        <v>95659.38</v>
      </c>
      <c r="J163" s="86"/>
      <c r="K163" s="86"/>
    </row>
    <row r="164" spans="2:12" ht="20" customHeight="1" thickTop="1" x14ac:dyDescent="0.2">
      <c r="B164" s="50"/>
      <c r="C164" s="90"/>
      <c r="D164" s="90"/>
      <c r="E164" s="90"/>
      <c r="F164" s="90"/>
      <c r="G164" s="90"/>
      <c r="H164" s="90"/>
      <c r="J164" s="86"/>
      <c r="K164" s="86"/>
    </row>
    <row r="165" spans="2:12" ht="20" customHeight="1" x14ac:dyDescent="0.2">
      <c r="B165" s="12" t="s">
        <v>126</v>
      </c>
      <c r="C165" s="90"/>
      <c r="D165" s="90"/>
      <c r="E165" s="90"/>
      <c r="F165" s="90"/>
      <c r="G165" s="90"/>
      <c r="H165" s="90"/>
      <c r="J165" s="86"/>
      <c r="K165" s="86"/>
    </row>
    <row r="166" spans="2:12" ht="20" customHeight="1" x14ac:dyDescent="0.2">
      <c r="B166" s="49" t="s">
        <v>127</v>
      </c>
      <c r="C166" s="85">
        <v>0</v>
      </c>
      <c r="D166" s="90">
        <f>C169</f>
        <v>162000</v>
      </c>
      <c r="E166" s="90">
        <f t="shared" ref="E166:H166" si="33">D169</f>
        <v>129600</v>
      </c>
      <c r="F166" s="90">
        <f t="shared" si="33"/>
        <v>97200</v>
      </c>
      <c r="G166" s="90">
        <f t="shared" si="33"/>
        <v>64800</v>
      </c>
      <c r="H166" s="90">
        <f t="shared" si="33"/>
        <v>32400</v>
      </c>
      <c r="I166" s="90">
        <f>H169</f>
        <v>0</v>
      </c>
      <c r="J166" s="86"/>
      <c r="K166" s="86"/>
    </row>
    <row r="167" spans="2:12" ht="20" customHeight="1" x14ac:dyDescent="0.2">
      <c r="B167" s="49" t="s">
        <v>128</v>
      </c>
      <c r="C167" s="85">
        <f t="shared" ref="C167:H167" si="34">C161</f>
        <v>162000</v>
      </c>
      <c r="D167" s="90">
        <f t="shared" si="34"/>
        <v>0</v>
      </c>
      <c r="E167" s="90">
        <f t="shared" si="34"/>
        <v>0</v>
      </c>
      <c r="F167" s="90">
        <f t="shared" si="34"/>
        <v>0</v>
      </c>
      <c r="G167" s="90">
        <f t="shared" si="34"/>
        <v>0</v>
      </c>
      <c r="H167" s="90">
        <f t="shared" si="34"/>
        <v>0</v>
      </c>
      <c r="I167" s="90"/>
      <c r="J167" s="86"/>
      <c r="K167" s="86"/>
    </row>
    <row r="168" spans="2:12" ht="20" customHeight="1" x14ac:dyDescent="0.2">
      <c r="B168" s="49" t="s">
        <v>112</v>
      </c>
      <c r="C168" s="85">
        <v>0</v>
      </c>
      <c r="D168" s="90">
        <f>$C$167*$C$31</f>
        <v>32400</v>
      </c>
      <c r="E168" s="90">
        <f>$C$167*$C$31</f>
        <v>32400</v>
      </c>
      <c r="F168" s="90">
        <f>$C$167*$C$31</f>
        <v>32400</v>
      </c>
      <c r="G168" s="90">
        <f>$C$167*$C$31</f>
        <v>32400</v>
      </c>
      <c r="H168" s="90">
        <f>$C$167*$C$31</f>
        <v>32400</v>
      </c>
      <c r="J168" s="86"/>
      <c r="K168" s="86"/>
    </row>
    <row r="169" spans="2:12" ht="20" customHeight="1" thickBot="1" x14ac:dyDescent="0.25">
      <c r="B169" s="99" t="s">
        <v>129</v>
      </c>
      <c r="C169" s="126">
        <f>C166+C167-C168</f>
        <v>162000</v>
      </c>
      <c r="D169" s="126">
        <f>D166+D167-D168</f>
        <v>129600</v>
      </c>
      <c r="E169" s="126">
        <f t="shared" ref="E169:H169" si="35">E166+E167-E168</f>
        <v>97200</v>
      </c>
      <c r="F169" s="126">
        <f t="shared" si="35"/>
        <v>64800</v>
      </c>
      <c r="G169" s="126">
        <f t="shared" si="35"/>
        <v>32400</v>
      </c>
      <c r="H169" s="126">
        <f t="shared" si="35"/>
        <v>0</v>
      </c>
      <c r="J169" s="86"/>
      <c r="K169" s="86"/>
    </row>
    <row r="170" spans="2:12" ht="20" customHeight="1" thickTop="1" x14ac:dyDescent="0.2">
      <c r="C170" s="90"/>
      <c r="D170" s="90"/>
      <c r="E170" s="90"/>
      <c r="F170" s="90"/>
      <c r="G170" s="90"/>
      <c r="H170" s="90"/>
      <c r="J170" s="86"/>
      <c r="K170" s="86"/>
    </row>
    <row r="171" spans="2:12" ht="20" customHeight="1" x14ac:dyDescent="0.2">
      <c r="B171" s="49" t="s">
        <v>130</v>
      </c>
      <c r="C171" s="90">
        <f>C166*$C$30</f>
        <v>0</v>
      </c>
      <c r="D171" s="90">
        <f t="shared" ref="D171:H171" si="36">D166*$C$30</f>
        <v>16200</v>
      </c>
      <c r="E171" s="90">
        <f t="shared" si="36"/>
        <v>12960</v>
      </c>
      <c r="F171" s="90">
        <f t="shared" si="36"/>
        <v>9720</v>
      </c>
      <c r="G171" s="90">
        <f t="shared" si="36"/>
        <v>6480</v>
      </c>
      <c r="H171" s="90">
        <f t="shared" si="36"/>
        <v>3240</v>
      </c>
      <c r="I171" s="90"/>
      <c r="J171" s="86"/>
      <c r="K171" s="86"/>
    </row>
    <row r="172" spans="2:12" ht="20" customHeight="1" x14ac:dyDescent="0.2">
      <c r="J172" s="86"/>
      <c r="K172" s="86"/>
    </row>
    <row r="173" spans="2:12" ht="20" customHeight="1" x14ac:dyDescent="0.2">
      <c r="B173" s="12" t="s">
        <v>131</v>
      </c>
      <c r="J173" s="27"/>
      <c r="K173" s="15"/>
      <c r="L173" s="15"/>
    </row>
    <row r="174" spans="2:12" ht="20" customHeight="1" x14ac:dyDescent="0.2">
      <c r="B174" s="49" t="s">
        <v>132</v>
      </c>
      <c r="C174" s="76">
        <f t="shared" ref="C174:H174" si="37">C42*$C$25/365</f>
        <v>0</v>
      </c>
      <c r="D174" s="76">
        <f t="shared" si="37"/>
        <v>6164.3835616438355</v>
      </c>
      <c r="E174" s="76">
        <f t="shared" si="37"/>
        <v>7397.2602739726026</v>
      </c>
      <c r="F174" s="76">
        <f t="shared" si="37"/>
        <v>9863.0136986301368</v>
      </c>
      <c r="G174" s="76">
        <f t="shared" si="37"/>
        <v>14794.520547945205</v>
      </c>
      <c r="H174" s="76">
        <f t="shared" si="37"/>
        <v>20547.945205479453</v>
      </c>
      <c r="I174" s="86"/>
    </row>
    <row r="175" spans="2:12" ht="20" customHeight="1" x14ac:dyDescent="0.2">
      <c r="B175" s="49" t="s">
        <v>15</v>
      </c>
      <c r="C175" s="76">
        <f t="shared" ref="C175:H175" si="38">C43*$C$17*$C$26/365</f>
        <v>0</v>
      </c>
      <c r="D175" s="76">
        <f t="shared" si="38"/>
        <v>1972.6027397260275</v>
      </c>
      <c r="E175" s="76">
        <f t="shared" si="38"/>
        <v>2367.1232876712329</v>
      </c>
      <c r="F175" s="76">
        <f t="shared" si="38"/>
        <v>3156.1643835616437</v>
      </c>
      <c r="G175" s="76">
        <f t="shared" si="38"/>
        <v>4734.2465753424658</v>
      </c>
      <c r="H175" s="76">
        <f t="shared" si="38"/>
        <v>6575.3424657534242</v>
      </c>
      <c r="J175" s="50"/>
      <c r="K175" s="50"/>
    </row>
    <row r="176" spans="2:12" ht="20" customHeight="1" x14ac:dyDescent="0.2">
      <c r="B176" s="49" t="s">
        <v>133</v>
      </c>
      <c r="C176" s="76">
        <f t="shared" ref="C176:H176" si="39">C43*$C$17*$C$27/365</f>
        <v>0</v>
      </c>
      <c r="D176" s="76">
        <f t="shared" si="39"/>
        <v>986.30136986301375</v>
      </c>
      <c r="E176" s="76">
        <f t="shared" si="39"/>
        <v>1183.5616438356165</v>
      </c>
      <c r="F176" s="76">
        <f t="shared" si="39"/>
        <v>1578.0821917808219</v>
      </c>
      <c r="G176" s="76">
        <f t="shared" si="39"/>
        <v>2367.1232876712329</v>
      </c>
      <c r="H176" s="76">
        <f t="shared" si="39"/>
        <v>3287.6712328767121</v>
      </c>
      <c r="J176" s="90"/>
      <c r="K176" s="90"/>
    </row>
    <row r="177" spans="2:12" ht="20" customHeight="1" thickBot="1" x14ac:dyDescent="0.25">
      <c r="B177" s="99" t="s">
        <v>134</v>
      </c>
      <c r="C177" s="126">
        <f>C174+C175-C176</f>
        <v>0</v>
      </c>
      <c r="D177" s="126">
        <f t="shared" ref="D177:H177" si="40">D174+D175-D176</f>
        <v>7150.6849315068494</v>
      </c>
      <c r="E177" s="126">
        <f t="shared" si="40"/>
        <v>8580.8219178082181</v>
      </c>
      <c r="F177" s="126">
        <f t="shared" si="40"/>
        <v>11441.095890410958</v>
      </c>
      <c r="G177" s="126">
        <f t="shared" si="40"/>
        <v>17161.643835616436</v>
      </c>
      <c r="H177" s="126">
        <f t="shared" si="40"/>
        <v>23835.616438356163</v>
      </c>
      <c r="J177" s="76"/>
      <c r="K177" s="50"/>
    </row>
    <row r="178" spans="2:12" ht="20" customHeight="1" thickTop="1" x14ac:dyDescent="0.2">
      <c r="B178" s="49" t="s">
        <v>16</v>
      </c>
      <c r="C178" s="90">
        <v>0</v>
      </c>
      <c r="D178" s="90">
        <f>D177-C177</f>
        <v>7150.6849315068494</v>
      </c>
      <c r="E178" s="90">
        <f>E177-D177</f>
        <v>1430.1369863013688</v>
      </c>
      <c r="F178" s="90">
        <f t="shared" ref="F178:G178" si="41">F177-E177</f>
        <v>2860.2739726027394</v>
      </c>
      <c r="G178" s="90">
        <f t="shared" si="41"/>
        <v>5720.5479452054788</v>
      </c>
      <c r="H178" s="90">
        <f>H177-G177</f>
        <v>6673.9726027397264</v>
      </c>
      <c r="J178" s="90"/>
    </row>
    <row r="179" spans="2:12" ht="20" customHeight="1" x14ac:dyDescent="0.2">
      <c r="B179" s="50"/>
      <c r="E179" s="94"/>
      <c r="F179" s="94"/>
      <c r="G179" s="94"/>
      <c r="H179" s="94"/>
      <c r="I179" s="94"/>
      <c r="J179" s="94"/>
    </row>
    <row r="181" spans="2:12" ht="20" customHeight="1" x14ac:dyDescent="0.2">
      <c r="B181" s="50"/>
      <c r="C181" s="52"/>
      <c r="E181" s="52"/>
      <c r="F181" s="52"/>
      <c r="G181" s="52"/>
      <c r="H181" s="52"/>
      <c r="I181" s="52"/>
      <c r="J181" s="52"/>
    </row>
    <row r="182" spans="2:12" ht="20" customHeight="1" x14ac:dyDescent="0.2">
      <c r="B182" s="63"/>
      <c r="C182" s="76"/>
      <c r="E182" s="53"/>
      <c r="F182" s="76"/>
      <c r="G182" s="53"/>
      <c r="H182" s="76"/>
      <c r="I182" s="53"/>
      <c r="J182" s="76"/>
    </row>
    <row r="183" spans="2:12" ht="20" customHeight="1" x14ac:dyDescent="0.2">
      <c r="B183" s="63"/>
      <c r="C183" s="76"/>
      <c r="E183" s="53"/>
      <c r="F183" s="76"/>
      <c r="G183" s="53"/>
      <c r="H183" s="76"/>
      <c r="I183" s="53"/>
      <c r="J183" s="76"/>
    </row>
    <row r="184" spans="2:12" ht="20" customHeight="1" x14ac:dyDescent="0.2"/>
    <row r="185" spans="2:12" ht="20" customHeight="1" x14ac:dyDescent="0.2">
      <c r="B185" s="12"/>
      <c r="C185" s="12"/>
      <c r="D185" s="12"/>
      <c r="E185" s="11"/>
      <c r="F185" s="11"/>
      <c r="G185" s="11"/>
      <c r="H185" s="11"/>
      <c r="I185" s="11"/>
      <c r="J185" s="11"/>
      <c r="K185" s="11"/>
      <c r="L185" s="11"/>
    </row>
    <row r="186" spans="2:12" ht="20" customHeight="1" x14ac:dyDescent="0.2">
      <c r="E186" s="95"/>
      <c r="F186" s="95"/>
      <c r="G186" s="54"/>
      <c r="H186" s="95"/>
      <c r="J186" s="96"/>
      <c r="K186" s="96"/>
    </row>
    <row r="187" spans="2:12" ht="20" customHeight="1" x14ac:dyDescent="0.2">
      <c r="E187" s="95"/>
      <c r="F187" s="95"/>
      <c r="G187" s="54"/>
      <c r="H187" s="95"/>
      <c r="J187" s="96"/>
      <c r="K187" s="96"/>
    </row>
    <row r="188" spans="2:12" ht="20" customHeight="1" x14ac:dyDescent="0.2">
      <c r="E188" s="95"/>
      <c r="F188" s="95"/>
      <c r="G188" s="54"/>
      <c r="H188" s="95"/>
      <c r="J188" s="96"/>
      <c r="K188" s="96"/>
    </row>
    <row r="189" spans="2:12" ht="20" customHeight="1" x14ac:dyDescent="0.2">
      <c r="E189" s="95"/>
      <c r="F189" s="95"/>
      <c r="G189" s="54"/>
      <c r="H189" s="95"/>
      <c r="J189" s="96"/>
      <c r="K189" s="96"/>
    </row>
    <row r="190" spans="2:12" ht="20" customHeight="1" x14ac:dyDescent="0.2"/>
    <row r="191" spans="2:12" ht="20" customHeight="1" x14ac:dyDescent="0.2"/>
    <row r="192" spans="2:12" ht="20" customHeight="1" x14ac:dyDescent="0.2"/>
    <row r="193" ht="20" customHeight="1" x14ac:dyDescent="0.2"/>
    <row r="194" ht="20" customHeight="1" x14ac:dyDescent="0.2"/>
    <row r="195" ht="20" customHeight="1" x14ac:dyDescent="0.2"/>
    <row r="196" ht="20" customHeight="1" x14ac:dyDescent="0.2"/>
    <row r="197" ht="20" customHeight="1" x14ac:dyDescent="0.2"/>
    <row r="198" ht="20" customHeight="1" x14ac:dyDescent="0.2"/>
    <row r="199" ht="20" customHeight="1" x14ac:dyDescent="0.2"/>
  </sheetData>
  <mergeCells count="1">
    <mergeCell ref="C2:E2"/>
  </mergeCells>
  <pageMargins left="0.70866141732283472" right="0.70866141732283472" top="0.74803149606299213" bottom="0.74803149606299213" header="0.31496062992125984" footer="0.31496062992125984"/>
  <pageSetup paperSize="8" scale="85" fitToHeight="0" orientation="landscape" r:id="rId1"/>
  <headerFooter>
    <oddHeader>&amp;L&amp;"Century Gothic,Bold Italic"&amp;24Business Case Template</oddHeader>
    <oddFooter>&amp;F&amp;RPage &amp;P</oddFooter>
  </headerFooter>
  <rowBreaks count="2" manualBreakCount="2">
    <brk id="36" max="16383" man="1"/>
    <brk id="172" max="1638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23CEB-D57B-0A47-B979-6989CB5EF69E}">
  <sheetPr>
    <pageSetUpPr fitToPage="1"/>
  </sheetPr>
  <dimension ref="B1:AC199"/>
  <sheetViews>
    <sheetView zoomScale="56" zoomScaleNormal="80" workbookViewId="0">
      <selection activeCell="C3" sqref="C3"/>
    </sheetView>
  </sheetViews>
  <sheetFormatPr baseColWidth="10" defaultColWidth="7.7109375" defaultRowHeight="16" x14ac:dyDescent="0.2"/>
  <cols>
    <col min="1" max="1" width="5.28515625" style="49" customWidth="1"/>
    <col min="2" max="2" width="68.85546875" style="49" customWidth="1"/>
    <col min="3" max="9" width="20.7109375" style="49" customWidth="1"/>
    <col min="10" max="11" width="17.7109375" style="49" customWidth="1"/>
    <col min="12" max="12" width="5.42578125" style="49" customWidth="1"/>
    <col min="13" max="16384" width="7.7109375" style="49"/>
  </cols>
  <sheetData>
    <row r="1" spans="2:29" ht="31.5" customHeight="1" x14ac:dyDescent="0.2"/>
    <row r="2" spans="2:29" s="71" customFormat="1" ht="54" customHeight="1" x14ac:dyDescent="0.2">
      <c r="B2" s="17" t="s">
        <v>163</v>
      </c>
      <c r="C2" s="151" t="s">
        <v>165</v>
      </c>
      <c r="D2" s="151"/>
      <c r="E2" s="151"/>
      <c r="F2" s="32"/>
      <c r="G2" s="32"/>
      <c r="H2" s="32"/>
      <c r="I2" s="32"/>
      <c r="J2" s="32"/>
      <c r="K2" s="32"/>
      <c r="L2" s="32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</row>
    <row r="3" spans="2:29" ht="20" customHeight="1" x14ac:dyDescent="0.2">
      <c r="B3" s="60"/>
      <c r="C3" s="72"/>
      <c r="D3" s="72"/>
      <c r="E3" s="15"/>
      <c r="F3" s="27"/>
      <c r="G3" s="27"/>
      <c r="H3" s="27"/>
      <c r="I3" s="27"/>
      <c r="J3" s="27"/>
      <c r="K3" s="15"/>
    </row>
    <row r="4" spans="2:29" ht="20" customHeight="1" x14ac:dyDescent="0.2">
      <c r="B4" s="60" t="s">
        <v>163</v>
      </c>
      <c r="C4" s="72" t="str">
        <f>C2</f>
        <v>[Insert name of option e.g., High growth]</v>
      </c>
      <c r="D4" s="72"/>
      <c r="E4" s="15"/>
      <c r="F4" s="27"/>
      <c r="G4" s="27"/>
      <c r="H4" s="27"/>
      <c r="I4" s="27"/>
      <c r="J4" s="27"/>
      <c r="K4" s="15"/>
    </row>
    <row r="5" spans="2:29" ht="30" customHeight="1" x14ac:dyDescent="0.2">
      <c r="B5" s="60" t="s">
        <v>67</v>
      </c>
      <c r="C5" s="56" t="s">
        <v>68</v>
      </c>
      <c r="D5" s="56"/>
      <c r="E5" s="56"/>
      <c r="F5" s="55"/>
      <c r="G5" s="55"/>
      <c r="H5" s="55"/>
      <c r="I5" s="55"/>
      <c r="J5" s="55"/>
      <c r="K5" s="55"/>
      <c r="L5" s="55"/>
    </row>
    <row r="6" spans="2:29" ht="19.5" customHeight="1" x14ac:dyDescent="0.2"/>
    <row r="7" spans="2:29" s="58" customFormat="1" ht="22" customHeight="1" x14ac:dyDescent="0.2">
      <c r="B7" s="61" t="s">
        <v>6</v>
      </c>
      <c r="C7" s="64" t="s">
        <v>4</v>
      </c>
      <c r="D7" s="65" t="s">
        <v>35</v>
      </c>
      <c r="E7" s="65" t="s">
        <v>36</v>
      </c>
      <c r="F7" s="65" t="s">
        <v>37</v>
      </c>
      <c r="G7" s="65" t="s">
        <v>38</v>
      </c>
      <c r="H7" s="65" t="s">
        <v>39</v>
      </c>
      <c r="I7" s="65" t="s">
        <v>5</v>
      </c>
      <c r="J7" s="73"/>
      <c r="K7" s="73"/>
    </row>
    <row r="8" spans="2:29" ht="20" customHeight="1" x14ac:dyDescent="0.2">
      <c r="C8" s="74"/>
      <c r="D8" s="75"/>
      <c r="F8" s="76"/>
      <c r="G8" s="76"/>
      <c r="H8" s="76"/>
      <c r="I8" s="76"/>
      <c r="J8" s="76"/>
      <c r="K8" s="76"/>
    </row>
    <row r="9" spans="2:29" ht="20" customHeight="1" x14ac:dyDescent="0.2">
      <c r="B9" s="12" t="s">
        <v>0</v>
      </c>
      <c r="C9" s="74"/>
      <c r="D9" s="75"/>
      <c r="F9" s="76"/>
      <c r="G9" s="76"/>
      <c r="H9" s="76"/>
      <c r="I9" s="76"/>
      <c r="J9" s="76"/>
      <c r="K9" s="76"/>
    </row>
    <row r="10" spans="2:29" ht="20" customHeight="1" x14ac:dyDescent="0.2">
      <c r="B10" s="49" t="s">
        <v>7</v>
      </c>
      <c r="C10" s="74">
        <v>45778</v>
      </c>
      <c r="D10" s="75"/>
      <c r="F10" s="76"/>
      <c r="G10" s="76"/>
      <c r="H10" s="76"/>
      <c r="I10" s="76"/>
      <c r="J10" s="76"/>
      <c r="K10" s="76"/>
    </row>
    <row r="11" spans="2:29" ht="20" customHeight="1" x14ac:dyDescent="0.2">
      <c r="B11" s="49" t="s">
        <v>8</v>
      </c>
      <c r="C11" s="74">
        <v>45838</v>
      </c>
      <c r="D11" s="75"/>
      <c r="F11" s="76"/>
      <c r="G11" s="76"/>
      <c r="H11" s="76"/>
      <c r="I11" s="76"/>
      <c r="J11" s="76"/>
      <c r="K11" s="76"/>
    </row>
    <row r="12" spans="2:29" ht="20" customHeight="1" x14ac:dyDescent="0.2">
      <c r="B12" s="49" t="s">
        <v>3</v>
      </c>
      <c r="C12" s="74">
        <f>C10</f>
        <v>45778</v>
      </c>
      <c r="D12" s="74">
        <f>DATE(YEAR($C$11)+D13,6,30)</f>
        <v>46203</v>
      </c>
      <c r="E12" s="74">
        <f t="shared" ref="E12:I12" si="0">DATE(YEAR($C$11)+E13,6,30)</f>
        <v>46568</v>
      </c>
      <c r="F12" s="74">
        <f t="shared" si="0"/>
        <v>46934</v>
      </c>
      <c r="G12" s="74">
        <f t="shared" si="0"/>
        <v>47299</v>
      </c>
      <c r="H12" s="74">
        <f t="shared" si="0"/>
        <v>47664</v>
      </c>
      <c r="I12" s="74">
        <f t="shared" si="0"/>
        <v>48029</v>
      </c>
      <c r="J12" s="78"/>
      <c r="K12" s="78"/>
    </row>
    <row r="13" spans="2:29" ht="20" customHeight="1" x14ac:dyDescent="0.2">
      <c r="B13" s="49" t="s">
        <v>148</v>
      </c>
      <c r="C13" s="79">
        <v>0</v>
      </c>
      <c r="D13" s="77">
        <v>1</v>
      </c>
      <c r="E13" s="134">
        <f>D13+1</f>
        <v>2</v>
      </c>
      <c r="F13" s="134">
        <f t="shared" ref="F13:I13" si="1">E13+1</f>
        <v>3</v>
      </c>
      <c r="G13" s="134">
        <f t="shared" si="1"/>
        <v>4</v>
      </c>
      <c r="H13" s="134">
        <f t="shared" si="1"/>
        <v>5</v>
      </c>
      <c r="I13" s="134">
        <f t="shared" si="1"/>
        <v>6</v>
      </c>
      <c r="J13" s="79"/>
      <c r="K13" s="79"/>
    </row>
    <row r="14" spans="2:29" ht="20" customHeight="1" x14ac:dyDescent="0.2">
      <c r="B14" s="49" t="s">
        <v>149</v>
      </c>
      <c r="C14" s="77"/>
      <c r="D14" s="135">
        <f>YEARFRAC(C12,D12)</f>
        <v>1.163888888888889</v>
      </c>
      <c r="E14" s="135">
        <f t="shared" ref="E14:H14" si="2">YEARFRAC(D12,E12)</f>
        <v>1</v>
      </c>
      <c r="F14" s="135">
        <f t="shared" si="2"/>
        <v>1</v>
      </c>
      <c r="G14" s="135">
        <f t="shared" si="2"/>
        <v>1</v>
      </c>
      <c r="H14" s="135">
        <f t="shared" si="2"/>
        <v>1</v>
      </c>
      <c r="I14" s="80"/>
      <c r="J14" s="80"/>
      <c r="K14" s="77"/>
    </row>
    <row r="15" spans="2:29" ht="20" customHeight="1" x14ac:dyDescent="0.2">
      <c r="C15" s="74"/>
      <c r="D15" s="75"/>
      <c r="F15" s="76"/>
      <c r="G15" s="76"/>
      <c r="H15" s="76"/>
      <c r="I15" s="76"/>
      <c r="J15" s="76"/>
      <c r="K15" s="76"/>
    </row>
    <row r="16" spans="2:29" ht="20" customHeight="1" x14ac:dyDescent="0.2">
      <c r="B16" s="12" t="s">
        <v>1</v>
      </c>
      <c r="C16" s="74"/>
      <c r="D16" s="75"/>
      <c r="F16" s="76"/>
      <c r="G16" s="76"/>
      <c r="H16" s="76"/>
      <c r="I16" s="76"/>
      <c r="J16" s="76"/>
      <c r="K16" s="76"/>
    </row>
    <row r="17" spans="2:11" ht="19.5" customHeight="1" x14ac:dyDescent="0.2">
      <c r="B17" s="49" t="s">
        <v>116</v>
      </c>
      <c r="C17" s="120">
        <v>0.4</v>
      </c>
      <c r="F17" s="76"/>
      <c r="G17" s="76"/>
      <c r="H17" s="76"/>
      <c r="I17" s="76"/>
      <c r="J17" s="76"/>
      <c r="K17" s="76"/>
    </row>
    <row r="18" spans="2:11" ht="20" customHeight="1" x14ac:dyDescent="0.2">
      <c r="B18" s="49" t="s">
        <v>117</v>
      </c>
      <c r="C18" s="120">
        <v>0.22</v>
      </c>
      <c r="F18" s="76"/>
      <c r="G18" s="76"/>
      <c r="H18" s="76"/>
      <c r="I18" s="76"/>
      <c r="J18" s="76"/>
      <c r="K18" s="76"/>
    </row>
    <row r="19" spans="2:11" ht="19.5" customHeight="1" x14ac:dyDescent="0.2">
      <c r="B19" s="21" t="s">
        <v>124</v>
      </c>
      <c r="C19" s="120">
        <v>0.1</v>
      </c>
      <c r="F19" s="76"/>
      <c r="G19" s="76"/>
      <c r="H19" s="76"/>
      <c r="I19" s="76"/>
      <c r="J19" s="76"/>
      <c r="K19" s="76"/>
    </row>
    <row r="20" spans="2:11" ht="19.5" customHeight="1" x14ac:dyDescent="0.2">
      <c r="B20" s="21"/>
      <c r="C20" s="23"/>
      <c r="D20" s="81"/>
      <c r="F20" s="76"/>
      <c r="G20" s="76"/>
      <c r="H20" s="76"/>
      <c r="I20" s="76"/>
      <c r="J20" s="76"/>
      <c r="K20" s="76"/>
    </row>
    <row r="21" spans="2:11" ht="19.5" customHeight="1" x14ac:dyDescent="0.2">
      <c r="B21" s="12" t="s">
        <v>150</v>
      </c>
      <c r="C21" s="23"/>
      <c r="D21" s="81"/>
      <c r="F21" s="76"/>
      <c r="G21" s="76"/>
      <c r="H21" s="76"/>
      <c r="I21" s="76"/>
      <c r="J21" s="76"/>
      <c r="K21" s="76"/>
    </row>
    <row r="22" spans="2:11" ht="19.5" customHeight="1" x14ac:dyDescent="0.2">
      <c r="B22" s="49" t="s">
        <v>151</v>
      </c>
      <c r="C22" s="120">
        <v>0.2</v>
      </c>
      <c r="D22" s="81"/>
      <c r="F22" s="76"/>
      <c r="G22" s="76"/>
      <c r="H22" s="76"/>
      <c r="I22" s="76"/>
      <c r="J22" s="76"/>
      <c r="K22" s="76"/>
    </row>
    <row r="23" spans="2:11" ht="19.5" customHeight="1" x14ac:dyDescent="0.2">
      <c r="B23" s="21"/>
      <c r="C23" s="23"/>
      <c r="D23" s="81"/>
      <c r="F23" s="76"/>
      <c r="G23" s="76"/>
      <c r="H23" s="76"/>
      <c r="I23" s="76"/>
      <c r="J23" s="76"/>
      <c r="K23" s="76"/>
    </row>
    <row r="24" spans="2:11" ht="19.5" customHeight="1" x14ac:dyDescent="0.2">
      <c r="B24" s="12" t="s">
        <v>147</v>
      </c>
      <c r="C24" s="23"/>
      <c r="D24" s="81"/>
      <c r="F24" s="76"/>
      <c r="G24" s="76"/>
      <c r="H24" s="76"/>
      <c r="I24" s="76"/>
      <c r="J24" s="76"/>
      <c r="K24" s="76"/>
    </row>
    <row r="25" spans="2:11" ht="19.5" customHeight="1" x14ac:dyDescent="0.2">
      <c r="B25" s="21" t="s">
        <v>144</v>
      </c>
      <c r="C25" s="127">
        <v>30</v>
      </c>
      <c r="F25" s="76"/>
      <c r="G25" s="76"/>
      <c r="H25" s="76"/>
      <c r="I25" s="76"/>
      <c r="J25" s="76"/>
      <c r="K25" s="76"/>
    </row>
    <row r="26" spans="2:11" ht="19.5" customHeight="1" x14ac:dyDescent="0.2">
      <c r="B26" s="21" t="s">
        <v>145</v>
      </c>
      <c r="C26" s="127">
        <v>60</v>
      </c>
      <c r="F26" s="76"/>
      <c r="G26" s="76"/>
      <c r="H26" s="76"/>
      <c r="I26" s="76"/>
      <c r="J26" s="76"/>
      <c r="K26" s="76"/>
    </row>
    <row r="27" spans="2:11" ht="19.5" customHeight="1" x14ac:dyDescent="0.2">
      <c r="B27" s="21" t="s">
        <v>146</v>
      </c>
      <c r="C27" s="127">
        <v>30</v>
      </c>
      <c r="F27" s="76"/>
      <c r="G27" s="76"/>
      <c r="H27" s="76"/>
      <c r="I27" s="76"/>
      <c r="J27" s="76"/>
      <c r="K27" s="76"/>
    </row>
    <row r="28" spans="2:11" ht="20" customHeight="1" x14ac:dyDescent="0.2">
      <c r="D28" s="81"/>
      <c r="F28" s="76"/>
      <c r="G28" s="76"/>
      <c r="H28" s="76"/>
      <c r="I28" s="76"/>
      <c r="J28" s="76"/>
      <c r="K28" s="76"/>
    </row>
    <row r="29" spans="2:11" ht="20" customHeight="1" x14ac:dyDescent="0.2">
      <c r="B29" s="12" t="s">
        <v>9</v>
      </c>
      <c r="D29" s="81"/>
      <c r="F29" s="76"/>
      <c r="G29" s="76"/>
      <c r="H29" s="76"/>
      <c r="I29" s="76"/>
      <c r="J29" s="76"/>
      <c r="K29" s="76"/>
    </row>
    <row r="30" spans="2:11" ht="20" customHeight="1" x14ac:dyDescent="0.2">
      <c r="B30" s="49" t="s">
        <v>143</v>
      </c>
      <c r="C30" s="120">
        <v>0.1</v>
      </c>
      <c r="F30" s="76"/>
      <c r="G30" s="76"/>
      <c r="H30" s="76"/>
      <c r="I30" s="76"/>
      <c r="J30" s="76"/>
      <c r="K30" s="76"/>
    </row>
    <row r="31" spans="2:11" ht="19.5" customHeight="1" x14ac:dyDescent="0.2">
      <c r="B31" s="21" t="s">
        <v>142</v>
      </c>
      <c r="C31" s="120">
        <v>0.2</v>
      </c>
      <c r="F31" s="76"/>
      <c r="G31" s="76"/>
      <c r="H31" s="76"/>
      <c r="I31" s="76"/>
      <c r="J31" s="76"/>
      <c r="K31" s="76"/>
    </row>
    <row r="32" spans="2:11" ht="20" customHeight="1" x14ac:dyDescent="0.2">
      <c r="D32" s="81"/>
      <c r="F32" s="76"/>
      <c r="G32" s="76"/>
      <c r="H32" s="76"/>
      <c r="I32" s="76"/>
      <c r="J32" s="76"/>
      <c r="K32" s="76"/>
    </row>
    <row r="33" spans="2:12" ht="20" customHeight="1" x14ac:dyDescent="0.2">
      <c r="B33" s="12" t="s">
        <v>2</v>
      </c>
      <c r="D33" s="81"/>
      <c r="F33" s="76"/>
      <c r="G33" s="76"/>
      <c r="H33" s="76"/>
      <c r="I33" s="76"/>
      <c r="J33" s="76"/>
      <c r="K33" s="76"/>
    </row>
    <row r="34" spans="2:12" ht="20" customHeight="1" x14ac:dyDescent="0.2">
      <c r="B34" s="49" t="s">
        <v>10</v>
      </c>
      <c r="C34" s="120">
        <v>0.1</v>
      </c>
      <c r="F34" s="76"/>
      <c r="G34" s="76"/>
      <c r="H34" s="76"/>
      <c r="I34" s="76"/>
      <c r="J34" s="76"/>
      <c r="K34" s="76"/>
    </row>
    <row r="35" spans="2:12" ht="20" customHeight="1" x14ac:dyDescent="0.2">
      <c r="B35" s="49" t="s">
        <v>11</v>
      </c>
      <c r="C35" s="120">
        <v>0.05</v>
      </c>
      <c r="D35" s="81"/>
      <c r="F35" s="76"/>
      <c r="G35" s="76"/>
      <c r="H35" s="76"/>
      <c r="I35" s="76"/>
      <c r="J35" s="76"/>
      <c r="K35" s="76"/>
    </row>
    <row r="36" spans="2:12" ht="20" customHeight="1" x14ac:dyDescent="0.2">
      <c r="B36" s="77"/>
      <c r="C36" s="75"/>
      <c r="D36" s="75"/>
      <c r="E36" s="74"/>
      <c r="F36" s="76"/>
      <c r="G36" s="76"/>
      <c r="H36" s="76"/>
      <c r="I36" s="76"/>
      <c r="J36" s="76"/>
      <c r="K36" s="76"/>
    </row>
    <row r="37" spans="2:12" s="58" customFormat="1" ht="20" customHeight="1" x14ac:dyDescent="0.2">
      <c r="B37" s="61" t="s">
        <v>69</v>
      </c>
      <c r="C37" s="64" t="s">
        <v>4</v>
      </c>
      <c r="D37" s="65" t="s">
        <v>35</v>
      </c>
      <c r="E37" s="65" t="s">
        <v>36</v>
      </c>
      <c r="F37" s="65" t="s">
        <v>37</v>
      </c>
      <c r="G37" s="65" t="s">
        <v>38</v>
      </c>
      <c r="H37" s="65" t="s">
        <v>39</v>
      </c>
      <c r="I37" s="65" t="s">
        <v>5</v>
      </c>
      <c r="L37" s="73"/>
    </row>
    <row r="38" spans="2:12" s="31" customFormat="1" ht="20" customHeight="1" x14ac:dyDescent="0.2">
      <c r="B38" s="62"/>
      <c r="C38" s="30"/>
      <c r="D38" s="59"/>
      <c r="E38" s="59"/>
      <c r="F38" s="59"/>
      <c r="G38" s="59"/>
      <c r="H38" s="59"/>
      <c r="I38" s="30"/>
      <c r="L38" s="82"/>
    </row>
    <row r="39" spans="2:12" s="69" customFormat="1" ht="20" customHeight="1" x14ac:dyDescent="0.2">
      <c r="B39" s="66" t="s">
        <v>1</v>
      </c>
      <c r="C39" s="67"/>
      <c r="D39" s="68"/>
      <c r="E39" s="68"/>
      <c r="F39" s="68"/>
      <c r="G39" s="68"/>
      <c r="H39" s="68"/>
      <c r="I39" s="67"/>
      <c r="L39" s="83"/>
    </row>
    <row r="40" spans="2:12" ht="20" customHeight="1" x14ac:dyDescent="0.2">
      <c r="B40" s="60"/>
      <c r="C40" s="15"/>
      <c r="D40" s="27"/>
      <c r="E40" s="27"/>
      <c r="F40" s="27"/>
      <c r="G40" s="27"/>
      <c r="H40" s="27"/>
      <c r="I40" s="15"/>
      <c r="L40" s="84"/>
    </row>
    <row r="41" spans="2:12" ht="36" customHeight="1" x14ac:dyDescent="0.2">
      <c r="B41" s="50" t="s">
        <v>70</v>
      </c>
      <c r="C41" s="103"/>
      <c r="D41" s="103"/>
      <c r="E41" s="103"/>
      <c r="F41" s="103"/>
      <c r="G41" s="103"/>
      <c r="H41" s="103"/>
    </row>
    <row r="42" spans="2:12" ht="20" customHeight="1" x14ac:dyDescent="0.2">
      <c r="B42" s="49" t="s">
        <v>71</v>
      </c>
      <c r="C42" s="104"/>
      <c r="D42" s="119">
        <v>275000</v>
      </c>
      <c r="E42" s="119">
        <v>290000</v>
      </c>
      <c r="F42" s="119">
        <v>350000</v>
      </c>
      <c r="G42" s="119">
        <v>480000</v>
      </c>
      <c r="H42" s="119">
        <v>550000</v>
      </c>
    </row>
    <row r="43" spans="2:12" ht="20" customHeight="1" x14ac:dyDescent="0.2">
      <c r="B43" s="49" t="s">
        <v>72</v>
      </c>
      <c r="C43" s="103"/>
      <c r="D43" s="103">
        <f>D42*$C$17</f>
        <v>110000</v>
      </c>
      <c r="E43" s="103">
        <f>E42*$C$17</f>
        <v>116000</v>
      </c>
      <c r="F43" s="103">
        <f>F42*$C$17</f>
        <v>140000</v>
      </c>
      <c r="G43" s="103">
        <f>G42*$C$17</f>
        <v>192000</v>
      </c>
      <c r="H43" s="103">
        <f>H42*$C$17</f>
        <v>220000</v>
      </c>
    </row>
    <row r="44" spans="2:12" ht="20" customHeight="1" thickBot="1" x14ac:dyDescent="0.25">
      <c r="B44" s="98" t="s">
        <v>73</v>
      </c>
      <c r="C44" s="102">
        <f>(C42-C43)</f>
        <v>0</v>
      </c>
      <c r="D44" s="102">
        <f t="shared" ref="D44:H44" si="3">(D42-D43)</f>
        <v>165000</v>
      </c>
      <c r="E44" s="102">
        <f t="shared" si="3"/>
        <v>174000</v>
      </c>
      <c r="F44" s="102">
        <f t="shared" si="3"/>
        <v>210000</v>
      </c>
      <c r="G44" s="102">
        <f t="shared" si="3"/>
        <v>288000</v>
      </c>
      <c r="H44" s="102">
        <f t="shared" si="3"/>
        <v>330000</v>
      </c>
    </row>
    <row r="45" spans="2:12" ht="20" customHeight="1" thickTop="1" x14ac:dyDescent="0.2">
      <c r="B45" s="50"/>
      <c r="C45" s="105"/>
      <c r="D45" s="105"/>
      <c r="E45" s="105"/>
      <c r="F45" s="105"/>
      <c r="G45" s="105"/>
      <c r="H45" s="105"/>
    </row>
    <row r="46" spans="2:12" ht="20" customHeight="1" x14ac:dyDescent="0.2">
      <c r="B46" s="50" t="s">
        <v>74</v>
      </c>
      <c r="C46" s="103"/>
      <c r="D46" s="103"/>
      <c r="E46" s="103"/>
      <c r="F46" s="103"/>
      <c r="G46" s="103"/>
      <c r="H46" s="103"/>
    </row>
    <row r="47" spans="2:12" ht="20" customHeight="1" x14ac:dyDescent="0.2">
      <c r="B47" s="49" t="s">
        <v>75</v>
      </c>
      <c r="C47" s="104"/>
      <c r="D47" s="119">
        <v>100000</v>
      </c>
      <c r="E47" s="119">
        <v>80000</v>
      </c>
      <c r="F47" s="119">
        <v>80000</v>
      </c>
      <c r="G47" s="119">
        <v>80000</v>
      </c>
      <c r="H47" s="119">
        <v>80000</v>
      </c>
    </row>
    <row r="48" spans="2:12" ht="20" customHeight="1" x14ac:dyDescent="0.2">
      <c r="B48" s="49" t="s">
        <v>75</v>
      </c>
      <c r="C48" s="104"/>
      <c r="D48" s="119">
        <v>0</v>
      </c>
      <c r="E48" s="119">
        <v>0</v>
      </c>
      <c r="F48" s="119">
        <v>0</v>
      </c>
      <c r="G48" s="119">
        <v>0</v>
      </c>
      <c r="H48" s="119">
        <v>0</v>
      </c>
    </row>
    <row r="49" spans="2:8" ht="20" customHeight="1" thickBot="1" x14ac:dyDescent="0.25">
      <c r="B49" s="98" t="s">
        <v>76</v>
      </c>
      <c r="C49" s="102">
        <f>SUM(C47:C48)</f>
        <v>0</v>
      </c>
      <c r="D49" s="102">
        <f t="shared" ref="D49:H49" si="4">SUM(D47:D48)</f>
        <v>100000</v>
      </c>
      <c r="E49" s="102">
        <f t="shared" si="4"/>
        <v>80000</v>
      </c>
      <c r="F49" s="102">
        <f t="shared" si="4"/>
        <v>80000</v>
      </c>
      <c r="G49" s="102">
        <f t="shared" si="4"/>
        <v>80000</v>
      </c>
      <c r="H49" s="102">
        <f t="shared" si="4"/>
        <v>80000</v>
      </c>
    </row>
    <row r="50" spans="2:8" ht="20" customHeight="1" thickTop="1" x14ac:dyDescent="0.2">
      <c r="B50" s="50"/>
      <c r="C50" s="105"/>
      <c r="D50" s="105"/>
      <c r="E50" s="105"/>
      <c r="F50" s="105"/>
      <c r="G50" s="105"/>
      <c r="H50" s="105"/>
    </row>
    <row r="51" spans="2:8" s="89" customFormat="1" ht="20" customHeight="1" x14ac:dyDescent="0.2">
      <c r="B51" s="88" t="s">
        <v>87</v>
      </c>
      <c r="C51" s="106"/>
      <c r="D51" s="106"/>
      <c r="E51" s="106"/>
      <c r="F51" s="106"/>
      <c r="G51" s="106"/>
      <c r="H51" s="106"/>
    </row>
    <row r="52" spans="2:8" ht="20" customHeight="1" x14ac:dyDescent="0.2">
      <c r="C52" s="104"/>
      <c r="D52" s="104"/>
      <c r="E52" s="104"/>
      <c r="F52" s="104"/>
      <c r="G52" s="104"/>
      <c r="H52" s="104"/>
    </row>
    <row r="53" spans="2:8" ht="20" customHeight="1" x14ac:dyDescent="0.2">
      <c r="B53" s="100" t="s">
        <v>89</v>
      </c>
      <c r="C53" s="107"/>
      <c r="D53" s="107"/>
      <c r="E53" s="107"/>
      <c r="F53" s="107"/>
      <c r="G53" s="107"/>
      <c r="H53" s="107"/>
    </row>
    <row r="54" spans="2:8" ht="20" customHeight="1" x14ac:dyDescent="0.2">
      <c r="B54" s="101" t="s">
        <v>90</v>
      </c>
      <c r="C54" s="104"/>
      <c r="D54" s="111">
        <v>100000</v>
      </c>
      <c r="E54" s="111">
        <f>D54</f>
        <v>100000</v>
      </c>
      <c r="F54" s="111">
        <f t="shared" ref="F54:H56" si="5">E54</f>
        <v>100000</v>
      </c>
      <c r="G54" s="111">
        <f t="shared" si="5"/>
        <v>100000</v>
      </c>
      <c r="H54" s="111">
        <f t="shared" si="5"/>
        <v>100000</v>
      </c>
    </row>
    <row r="55" spans="2:8" ht="20" customHeight="1" x14ac:dyDescent="0.2">
      <c r="B55" s="101" t="s">
        <v>91</v>
      </c>
      <c r="C55" s="104"/>
      <c r="D55" s="111">
        <v>25000</v>
      </c>
      <c r="E55" s="111">
        <f>D55</f>
        <v>25000</v>
      </c>
      <c r="F55" s="111">
        <f t="shared" si="5"/>
        <v>25000</v>
      </c>
      <c r="G55" s="111">
        <f t="shared" si="5"/>
        <v>25000</v>
      </c>
      <c r="H55" s="111">
        <f t="shared" si="5"/>
        <v>25000</v>
      </c>
    </row>
    <row r="56" spans="2:8" ht="20" customHeight="1" x14ac:dyDescent="0.2">
      <c r="B56" s="101" t="s">
        <v>92</v>
      </c>
      <c r="C56" s="104"/>
      <c r="D56" s="111">
        <v>4000</v>
      </c>
      <c r="E56" s="111">
        <f>D56</f>
        <v>4000</v>
      </c>
      <c r="F56" s="111">
        <f t="shared" si="5"/>
        <v>4000</v>
      </c>
      <c r="G56" s="111">
        <f t="shared" si="5"/>
        <v>4000</v>
      </c>
      <c r="H56" s="111">
        <f t="shared" si="5"/>
        <v>4000</v>
      </c>
    </row>
    <row r="57" spans="2:8" ht="20" customHeight="1" x14ac:dyDescent="0.2">
      <c r="B57" s="101" t="s">
        <v>93</v>
      </c>
      <c r="C57" s="104"/>
      <c r="D57" s="111">
        <v>1000</v>
      </c>
      <c r="E57" s="111">
        <v>1000</v>
      </c>
      <c r="F57" s="111">
        <v>1000</v>
      </c>
      <c r="G57" s="111">
        <v>1000</v>
      </c>
      <c r="H57" s="111">
        <v>1000</v>
      </c>
    </row>
    <row r="58" spans="2:8" ht="20" customHeight="1" x14ac:dyDescent="0.2">
      <c r="B58" s="101" t="s">
        <v>94</v>
      </c>
      <c r="C58" s="104"/>
      <c r="D58" s="111">
        <v>0</v>
      </c>
      <c r="E58" s="111">
        <v>0</v>
      </c>
      <c r="F58" s="111">
        <v>0</v>
      </c>
      <c r="G58" s="111">
        <v>0</v>
      </c>
      <c r="H58" s="111">
        <v>0</v>
      </c>
    </row>
    <row r="59" spans="2:8" ht="20" customHeight="1" x14ac:dyDescent="0.2">
      <c r="B59" s="101"/>
      <c r="C59" s="107"/>
      <c r="D59" s="112"/>
      <c r="E59" s="112"/>
      <c r="F59" s="112"/>
      <c r="G59" s="112"/>
      <c r="H59" s="112"/>
    </row>
    <row r="60" spans="2:8" ht="20" customHeight="1" x14ac:dyDescent="0.2">
      <c r="B60" s="100" t="s">
        <v>95</v>
      </c>
      <c r="C60" s="108"/>
      <c r="D60" s="136"/>
      <c r="E60" s="136"/>
      <c r="F60" s="136"/>
      <c r="G60" s="136"/>
      <c r="H60" s="136"/>
    </row>
    <row r="61" spans="2:8" ht="20" customHeight="1" x14ac:dyDescent="0.2">
      <c r="B61" s="101" t="s">
        <v>96</v>
      </c>
      <c r="C61" s="104"/>
      <c r="D61" s="111">
        <v>10000</v>
      </c>
      <c r="E61" s="111">
        <v>10000</v>
      </c>
      <c r="F61" s="111">
        <v>10000</v>
      </c>
      <c r="G61" s="111">
        <v>10000</v>
      </c>
      <c r="H61" s="111">
        <v>10000</v>
      </c>
    </row>
    <row r="62" spans="2:8" ht="20" customHeight="1" x14ac:dyDescent="0.2">
      <c r="B62" s="101" t="s">
        <v>97</v>
      </c>
      <c r="C62" s="104"/>
      <c r="D62" s="111">
        <v>0</v>
      </c>
      <c r="E62" s="111">
        <v>0</v>
      </c>
      <c r="F62" s="111">
        <v>0</v>
      </c>
      <c r="G62" s="111">
        <v>0</v>
      </c>
      <c r="H62" s="111">
        <v>0</v>
      </c>
    </row>
    <row r="63" spans="2:8" ht="20" customHeight="1" x14ac:dyDescent="0.2">
      <c r="B63" s="101" t="s">
        <v>98</v>
      </c>
      <c r="C63" s="104"/>
      <c r="D63" s="111">
        <v>0</v>
      </c>
      <c r="E63" s="111">
        <v>0</v>
      </c>
      <c r="F63" s="111">
        <v>0</v>
      </c>
      <c r="G63" s="111">
        <v>0</v>
      </c>
      <c r="H63" s="111">
        <v>0</v>
      </c>
    </row>
    <row r="64" spans="2:8" ht="20" customHeight="1" x14ac:dyDescent="0.2">
      <c r="B64" s="101" t="s">
        <v>99</v>
      </c>
      <c r="C64" s="104"/>
      <c r="D64" s="111">
        <v>0</v>
      </c>
      <c r="E64" s="111">
        <v>0</v>
      </c>
      <c r="F64" s="111">
        <v>0</v>
      </c>
      <c r="G64" s="111">
        <v>0</v>
      </c>
      <c r="H64" s="111">
        <v>0</v>
      </c>
    </row>
    <row r="65" spans="2:8" ht="20" customHeight="1" x14ac:dyDescent="0.2">
      <c r="B65" s="101" t="s">
        <v>100</v>
      </c>
      <c r="C65" s="104"/>
      <c r="D65" s="111">
        <v>0</v>
      </c>
      <c r="E65" s="111">
        <v>0</v>
      </c>
      <c r="F65" s="111">
        <v>0</v>
      </c>
      <c r="G65" s="111">
        <v>0</v>
      </c>
      <c r="H65" s="111">
        <v>0</v>
      </c>
    </row>
    <row r="66" spans="2:8" ht="20" customHeight="1" x14ac:dyDescent="0.2">
      <c r="B66" s="101"/>
      <c r="C66" s="107"/>
      <c r="D66" s="112"/>
      <c r="E66" s="112"/>
      <c r="F66" s="112"/>
      <c r="G66" s="112"/>
      <c r="H66" s="112"/>
    </row>
    <row r="67" spans="2:8" ht="20" customHeight="1" x14ac:dyDescent="0.2">
      <c r="B67" s="100" t="s">
        <v>101</v>
      </c>
      <c r="C67" s="108"/>
      <c r="D67" s="136"/>
      <c r="E67" s="136"/>
      <c r="F67" s="136"/>
      <c r="G67" s="136"/>
      <c r="H67" s="136"/>
    </row>
    <row r="68" spans="2:8" ht="20" customHeight="1" x14ac:dyDescent="0.2">
      <c r="B68" s="101" t="s">
        <v>102</v>
      </c>
      <c r="C68" s="104"/>
      <c r="D68" s="111">
        <v>0</v>
      </c>
      <c r="E68" s="111">
        <v>0</v>
      </c>
      <c r="F68" s="111">
        <v>0</v>
      </c>
      <c r="G68" s="111">
        <v>0</v>
      </c>
      <c r="H68" s="111">
        <v>0</v>
      </c>
    </row>
    <row r="69" spans="2:8" ht="20" customHeight="1" x14ac:dyDescent="0.2">
      <c r="C69" s="104"/>
      <c r="D69" s="104"/>
      <c r="E69" s="104"/>
      <c r="F69" s="104"/>
      <c r="G69" s="104"/>
      <c r="H69" s="104"/>
    </row>
    <row r="70" spans="2:8" ht="20" customHeight="1" thickBot="1" x14ac:dyDescent="0.25">
      <c r="B70" s="98" t="s">
        <v>103</v>
      </c>
      <c r="C70" s="102">
        <f t="shared" ref="C70:H70" si="6">-SUM(C52:C69)</f>
        <v>0</v>
      </c>
      <c r="D70" s="102">
        <f t="shared" si="6"/>
        <v>-140000</v>
      </c>
      <c r="E70" s="102">
        <f t="shared" si="6"/>
        <v>-140000</v>
      </c>
      <c r="F70" s="102">
        <f t="shared" si="6"/>
        <v>-140000</v>
      </c>
      <c r="G70" s="102">
        <f t="shared" si="6"/>
        <v>-140000</v>
      </c>
      <c r="H70" s="102">
        <f t="shared" si="6"/>
        <v>-140000</v>
      </c>
    </row>
    <row r="71" spans="2:8" ht="20" customHeight="1" thickTop="1" x14ac:dyDescent="0.2">
      <c r="B71" s="50"/>
      <c r="C71" s="105"/>
      <c r="D71" s="105"/>
      <c r="E71" s="105"/>
      <c r="F71" s="105"/>
      <c r="G71" s="105"/>
      <c r="H71" s="105"/>
    </row>
    <row r="72" spans="2:8" ht="20" customHeight="1" x14ac:dyDescent="0.2">
      <c r="B72" s="50" t="s">
        <v>104</v>
      </c>
      <c r="C72" s="105">
        <f t="shared" ref="C72:H72" si="7">C44+C49+C70</f>
        <v>0</v>
      </c>
      <c r="D72" s="105">
        <f t="shared" si="7"/>
        <v>125000</v>
      </c>
      <c r="E72" s="105">
        <f t="shared" si="7"/>
        <v>114000</v>
      </c>
      <c r="F72" s="105">
        <f t="shared" si="7"/>
        <v>150000</v>
      </c>
      <c r="G72" s="105">
        <f t="shared" si="7"/>
        <v>228000</v>
      </c>
      <c r="H72" s="105">
        <f t="shared" si="7"/>
        <v>270000</v>
      </c>
    </row>
    <row r="73" spans="2:8" ht="20" customHeight="1" x14ac:dyDescent="0.2">
      <c r="B73" s="50"/>
      <c r="C73" s="105"/>
      <c r="D73" s="105"/>
      <c r="E73" s="105"/>
      <c r="F73" s="105"/>
      <c r="G73" s="105"/>
      <c r="H73" s="105"/>
    </row>
    <row r="74" spans="2:8" ht="20" customHeight="1" x14ac:dyDescent="0.2">
      <c r="B74" s="49" t="s">
        <v>12</v>
      </c>
      <c r="C74" s="103">
        <f>C162</f>
        <v>0</v>
      </c>
      <c r="D74" s="103">
        <f t="shared" ref="D74:H74" si="8">D162</f>
        <v>30600</v>
      </c>
      <c r="E74" s="103">
        <f t="shared" si="8"/>
        <v>27540</v>
      </c>
      <c r="F74" s="103">
        <f t="shared" si="8"/>
        <v>24786</v>
      </c>
      <c r="G74" s="103">
        <f t="shared" si="8"/>
        <v>22307.4</v>
      </c>
      <c r="H74" s="103">
        <f t="shared" si="8"/>
        <v>20076.660000000003</v>
      </c>
    </row>
    <row r="75" spans="2:8" ht="20" customHeight="1" x14ac:dyDescent="0.2">
      <c r="B75" s="49" t="s">
        <v>13</v>
      </c>
      <c r="C75" s="103">
        <f>C171</f>
        <v>0</v>
      </c>
      <c r="D75" s="103">
        <f t="shared" ref="D75:H75" si="9">D171</f>
        <v>30600</v>
      </c>
      <c r="E75" s="103">
        <f t="shared" si="9"/>
        <v>24480</v>
      </c>
      <c r="F75" s="103">
        <f t="shared" si="9"/>
        <v>18360</v>
      </c>
      <c r="G75" s="103">
        <f t="shared" si="9"/>
        <v>12240</v>
      </c>
      <c r="H75" s="103">
        <f t="shared" si="9"/>
        <v>6120</v>
      </c>
    </row>
    <row r="76" spans="2:8" ht="20" customHeight="1" x14ac:dyDescent="0.2">
      <c r="B76" s="50" t="s">
        <v>105</v>
      </c>
      <c r="C76" s="105">
        <f t="shared" ref="C76:H76" si="10">C72-C74-C75</f>
        <v>0</v>
      </c>
      <c r="D76" s="105">
        <f t="shared" si="10"/>
        <v>63800</v>
      </c>
      <c r="E76" s="105">
        <f>E72-E74-E75</f>
        <v>61980</v>
      </c>
      <c r="F76" s="105">
        <f t="shared" si="10"/>
        <v>106854</v>
      </c>
      <c r="G76" s="105">
        <f t="shared" si="10"/>
        <v>193452.6</v>
      </c>
      <c r="H76" s="105">
        <f t="shared" si="10"/>
        <v>243803.34</v>
      </c>
    </row>
    <row r="77" spans="2:8" ht="20" customHeight="1" x14ac:dyDescent="0.2">
      <c r="C77" s="103"/>
      <c r="D77" s="103"/>
      <c r="E77" s="103"/>
      <c r="F77" s="103"/>
      <c r="G77" s="103"/>
      <c r="H77" s="103"/>
    </row>
    <row r="78" spans="2:8" ht="20" customHeight="1" x14ac:dyDescent="0.2">
      <c r="B78" s="49" t="s">
        <v>14</v>
      </c>
      <c r="C78" s="103">
        <f t="shared" ref="C78:H78" si="11">C76*$C$18</f>
        <v>0</v>
      </c>
      <c r="D78" s="103">
        <f t="shared" si="11"/>
        <v>14036</v>
      </c>
      <c r="E78" s="103">
        <f t="shared" si="11"/>
        <v>13635.6</v>
      </c>
      <c r="F78" s="103">
        <f t="shared" si="11"/>
        <v>23507.88</v>
      </c>
      <c r="G78" s="103">
        <f t="shared" si="11"/>
        <v>42559.572</v>
      </c>
      <c r="H78" s="103">
        <f t="shared" si="11"/>
        <v>53636.734799999998</v>
      </c>
    </row>
    <row r="79" spans="2:8" ht="20" customHeight="1" x14ac:dyDescent="0.2">
      <c r="B79" s="50" t="s">
        <v>106</v>
      </c>
      <c r="C79" s="105">
        <f t="shared" ref="C79:H79" si="12">C76-C78</f>
        <v>0</v>
      </c>
      <c r="D79" s="105">
        <f t="shared" si="12"/>
        <v>49764</v>
      </c>
      <c r="E79" s="105">
        <f>E76-E78</f>
        <v>48344.4</v>
      </c>
      <c r="F79" s="105">
        <f t="shared" si="12"/>
        <v>83346.12</v>
      </c>
      <c r="G79" s="105">
        <f t="shared" si="12"/>
        <v>150893.02799999999</v>
      </c>
      <c r="H79" s="105">
        <f t="shared" si="12"/>
        <v>190166.60519999999</v>
      </c>
    </row>
    <row r="80" spans="2:8" ht="20" customHeight="1" x14ac:dyDescent="0.2">
      <c r="B80" s="50"/>
      <c r="C80" s="105"/>
      <c r="D80" s="105"/>
      <c r="E80" s="105"/>
      <c r="F80" s="105"/>
      <c r="G80" s="105"/>
      <c r="H80" s="105"/>
    </row>
    <row r="81" spans="2:8" ht="20" customHeight="1" x14ac:dyDescent="0.2">
      <c r="B81" s="49" t="s">
        <v>107</v>
      </c>
      <c r="C81" s="103">
        <f t="shared" ref="C81:H81" si="13">C74</f>
        <v>0</v>
      </c>
      <c r="D81" s="103">
        <f t="shared" si="13"/>
        <v>30600</v>
      </c>
      <c r="E81" s="103">
        <f t="shared" si="13"/>
        <v>27540</v>
      </c>
      <c r="F81" s="103">
        <f t="shared" si="13"/>
        <v>24786</v>
      </c>
      <c r="G81" s="103">
        <f t="shared" si="13"/>
        <v>22307.4</v>
      </c>
      <c r="H81" s="103">
        <f t="shared" si="13"/>
        <v>20076.660000000003</v>
      </c>
    </row>
    <row r="82" spans="2:8" ht="20" customHeight="1" x14ac:dyDescent="0.2">
      <c r="B82" s="49" t="s">
        <v>108</v>
      </c>
      <c r="C82" s="103">
        <f>C178</f>
        <v>0</v>
      </c>
      <c r="D82" s="103">
        <f t="shared" ref="D82:H82" si="14">D178</f>
        <v>26219.178082191778</v>
      </c>
      <c r="E82" s="103">
        <f t="shared" si="14"/>
        <v>1430.1369863013715</v>
      </c>
      <c r="F82" s="103">
        <f t="shared" si="14"/>
        <v>5720.5479452054824</v>
      </c>
      <c r="G82" s="103">
        <f t="shared" si="14"/>
        <v>12394.520547945198</v>
      </c>
      <c r="H82" s="103">
        <f t="shared" si="14"/>
        <v>6673.9726027397264</v>
      </c>
    </row>
    <row r="83" spans="2:8" ht="20" customHeight="1" thickBot="1" x14ac:dyDescent="0.25">
      <c r="B83" s="98" t="s">
        <v>109</v>
      </c>
      <c r="C83" s="102">
        <f t="shared" ref="C83:H83" si="15">C79+C81-C82</f>
        <v>0</v>
      </c>
      <c r="D83" s="102">
        <f t="shared" si="15"/>
        <v>54144.821917808222</v>
      </c>
      <c r="E83" s="102">
        <f t="shared" si="15"/>
        <v>74454.263013698626</v>
      </c>
      <c r="F83" s="102">
        <f t="shared" si="15"/>
        <v>102411.57205479451</v>
      </c>
      <c r="G83" s="102">
        <f t="shared" si="15"/>
        <v>160805.90745205479</v>
      </c>
      <c r="H83" s="102">
        <f t="shared" si="15"/>
        <v>203569.29259726027</v>
      </c>
    </row>
    <row r="84" spans="2:8" ht="20" customHeight="1" thickTop="1" x14ac:dyDescent="0.2">
      <c r="B84" s="50"/>
      <c r="C84" s="105"/>
      <c r="D84" s="105"/>
      <c r="E84" s="105"/>
      <c r="F84" s="105"/>
      <c r="G84" s="105"/>
      <c r="H84" s="105"/>
    </row>
    <row r="85" spans="2:8" s="69" customFormat="1" ht="20" customHeight="1" x14ac:dyDescent="0.2">
      <c r="B85" s="87" t="s">
        <v>88</v>
      </c>
      <c r="C85" s="109"/>
      <c r="D85" s="109"/>
      <c r="E85" s="109"/>
      <c r="F85" s="109"/>
      <c r="G85" s="109"/>
      <c r="H85" s="109"/>
    </row>
    <row r="86" spans="2:8" ht="20" customHeight="1" x14ac:dyDescent="0.2">
      <c r="C86" s="103"/>
      <c r="D86" s="103"/>
      <c r="E86" s="103"/>
      <c r="F86" s="103"/>
      <c r="G86" s="103"/>
      <c r="H86" s="103"/>
    </row>
    <row r="87" spans="2:8" ht="20" customHeight="1" x14ac:dyDescent="0.2">
      <c r="B87" s="50" t="s">
        <v>77</v>
      </c>
      <c r="C87" s="103"/>
      <c r="D87" s="103"/>
      <c r="E87" s="103"/>
      <c r="F87" s="103"/>
      <c r="G87" s="103"/>
      <c r="H87" s="103"/>
    </row>
    <row r="88" spans="2:8" ht="20" customHeight="1" x14ac:dyDescent="0.2">
      <c r="B88" s="70" t="s">
        <v>78</v>
      </c>
      <c r="C88" s="111">
        <v>200000</v>
      </c>
      <c r="D88" s="111">
        <v>0</v>
      </c>
      <c r="E88" s="111">
        <v>0</v>
      </c>
      <c r="F88" s="111">
        <v>0</v>
      </c>
      <c r="G88" s="111">
        <v>0</v>
      </c>
      <c r="H88" s="111">
        <v>0</v>
      </c>
    </row>
    <row r="89" spans="2:8" ht="20" customHeight="1" x14ac:dyDescent="0.2">
      <c r="B89" s="70" t="s">
        <v>79</v>
      </c>
      <c r="C89" s="111">
        <v>25000</v>
      </c>
      <c r="D89" s="111">
        <v>0</v>
      </c>
      <c r="E89" s="111">
        <v>0</v>
      </c>
      <c r="F89" s="111">
        <v>0</v>
      </c>
      <c r="G89" s="111">
        <v>0</v>
      </c>
      <c r="H89" s="111">
        <v>0</v>
      </c>
    </row>
    <row r="90" spans="2:8" ht="20" customHeight="1" x14ac:dyDescent="0.2">
      <c r="B90" s="70" t="s">
        <v>80</v>
      </c>
      <c r="C90" s="111">
        <v>20000</v>
      </c>
      <c r="D90" s="111">
        <v>0</v>
      </c>
      <c r="E90" s="111">
        <v>0</v>
      </c>
      <c r="F90" s="111">
        <v>0</v>
      </c>
      <c r="G90" s="111">
        <v>0</v>
      </c>
      <c r="H90" s="111">
        <v>0</v>
      </c>
    </row>
    <row r="91" spans="2:8" ht="20" customHeight="1" x14ac:dyDescent="0.2">
      <c r="B91" s="70" t="s">
        <v>81</v>
      </c>
      <c r="C91" s="111">
        <v>0</v>
      </c>
      <c r="D91" s="111">
        <v>0</v>
      </c>
      <c r="E91" s="111">
        <v>0</v>
      </c>
      <c r="F91" s="111">
        <v>0</v>
      </c>
      <c r="G91" s="111">
        <v>0</v>
      </c>
      <c r="H91" s="111">
        <v>0</v>
      </c>
    </row>
    <row r="92" spans="2:8" ht="20" customHeight="1" x14ac:dyDescent="0.2">
      <c r="B92" s="70" t="s">
        <v>82</v>
      </c>
      <c r="C92" s="111">
        <v>0</v>
      </c>
      <c r="D92" s="111">
        <v>0</v>
      </c>
      <c r="E92" s="111">
        <v>0</v>
      </c>
      <c r="F92" s="111">
        <v>0</v>
      </c>
      <c r="G92" s="111">
        <v>0</v>
      </c>
      <c r="H92" s="111">
        <v>0</v>
      </c>
    </row>
    <row r="93" spans="2:8" ht="20" customHeight="1" x14ac:dyDescent="0.2">
      <c r="B93" s="70"/>
      <c r="C93" s="112"/>
      <c r="D93" s="113"/>
      <c r="E93" s="113"/>
      <c r="F93" s="113"/>
      <c r="G93" s="113"/>
      <c r="H93" s="113"/>
    </row>
    <row r="94" spans="2:8" ht="20" customHeight="1" x14ac:dyDescent="0.2">
      <c r="B94" s="97" t="s">
        <v>83</v>
      </c>
      <c r="C94" s="112"/>
      <c r="D94" s="113"/>
      <c r="E94" s="113"/>
      <c r="F94" s="113"/>
      <c r="G94" s="113"/>
      <c r="H94" s="113"/>
    </row>
    <row r="95" spans="2:8" ht="20" customHeight="1" x14ac:dyDescent="0.2">
      <c r="B95" s="70" t="s">
        <v>84</v>
      </c>
      <c r="C95" s="111">
        <v>10000</v>
      </c>
      <c r="D95" s="111">
        <v>0</v>
      </c>
      <c r="E95" s="111">
        <v>0</v>
      </c>
      <c r="F95" s="111">
        <v>0</v>
      </c>
      <c r="G95" s="111">
        <v>0</v>
      </c>
      <c r="H95" s="111">
        <v>0</v>
      </c>
    </row>
    <row r="96" spans="2:8" ht="20" customHeight="1" x14ac:dyDescent="0.2">
      <c r="B96" s="70" t="s">
        <v>85</v>
      </c>
      <c r="C96" s="111">
        <v>0</v>
      </c>
      <c r="D96" s="111">
        <v>0</v>
      </c>
      <c r="E96" s="111">
        <v>0</v>
      </c>
      <c r="F96" s="111">
        <v>0</v>
      </c>
      <c r="G96" s="111">
        <v>0</v>
      </c>
      <c r="H96" s="111">
        <v>0</v>
      </c>
    </row>
    <row r="97" spans="2:11" ht="20" customHeight="1" x14ac:dyDescent="0.2">
      <c r="B97" s="70" t="s">
        <v>86</v>
      </c>
      <c r="C97" s="111">
        <v>0</v>
      </c>
      <c r="D97" s="111">
        <v>0</v>
      </c>
      <c r="E97" s="111">
        <v>0</v>
      </c>
      <c r="F97" s="111">
        <v>0</v>
      </c>
      <c r="G97" s="111">
        <v>0</v>
      </c>
      <c r="H97" s="111">
        <v>0</v>
      </c>
    </row>
    <row r="98" spans="2:11" ht="20" customHeight="1" x14ac:dyDescent="0.2">
      <c r="B98" s="70"/>
      <c r="C98" s="112"/>
      <c r="D98" s="112"/>
      <c r="E98" s="112"/>
      <c r="F98" s="112"/>
      <c r="G98" s="112"/>
      <c r="H98" s="112"/>
    </row>
    <row r="99" spans="2:11" ht="20" customHeight="1" x14ac:dyDescent="0.2">
      <c r="B99" s="70" t="s">
        <v>152</v>
      </c>
      <c r="C99" s="137">
        <f>$C$22*SUM(C88:C97)</f>
        <v>51000</v>
      </c>
      <c r="D99" s="137">
        <f t="shared" ref="D99:H99" si="16">$C$22*SUM(D88:D97)</f>
        <v>0</v>
      </c>
      <c r="E99" s="137">
        <f t="shared" si="16"/>
        <v>0</v>
      </c>
      <c r="F99" s="137">
        <f t="shared" si="16"/>
        <v>0</v>
      </c>
      <c r="G99" s="137">
        <f t="shared" si="16"/>
        <v>0</v>
      </c>
      <c r="H99" s="137">
        <f t="shared" si="16"/>
        <v>0</v>
      </c>
    </row>
    <row r="100" spans="2:11" ht="20" customHeight="1" x14ac:dyDescent="0.2">
      <c r="B100" s="50"/>
      <c r="C100" s="113"/>
      <c r="D100" s="113"/>
      <c r="E100" s="113"/>
      <c r="F100" s="113"/>
      <c r="G100" s="113"/>
      <c r="H100" s="113"/>
    </row>
    <row r="101" spans="2:11" ht="20" customHeight="1" thickBot="1" x14ac:dyDescent="0.25">
      <c r="B101" s="98" t="s">
        <v>119</v>
      </c>
      <c r="C101" s="114">
        <f>-SUM(C87:C100)</f>
        <v>-306000</v>
      </c>
      <c r="D101" s="114">
        <f t="shared" ref="D101:H101" si="17">-SUM(D87:D100)</f>
        <v>0</v>
      </c>
      <c r="E101" s="114">
        <f t="shared" si="17"/>
        <v>0</v>
      </c>
      <c r="F101" s="114">
        <f t="shared" si="17"/>
        <v>0</v>
      </c>
      <c r="G101" s="114">
        <f t="shared" si="17"/>
        <v>0</v>
      </c>
      <c r="H101" s="114">
        <f t="shared" si="17"/>
        <v>0</v>
      </c>
    </row>
    <row r="102" spans="2:11" ht="20" customHeight="1" thickTop="1" x14ac:dyDescent="0.2">
      <c r="C102" s="113"/>
      <c r="D102" s="113"/>
      <c r="E102" s="113"/>
      <c r="F102" s="113"/>
      <c r="G102" s="113"/>
      <c r="H102" s="113"/>
    </row>
    <row r="103" spans="2:11" s="69" customFormat="1" ht="20" customHeight="1" x14ac:dyDescent="0.2">
      <c r="B103" s="87" t="s">
        <v>9</v>
      </c>
      <c r="C103" s="115"/>
      <c r="D103" s="115"/>
      <c r="E103" s="115"/>
      <c r="F103" s="115"/>
      <c r="G103" s="115"/>
      <c r="H103" s="115"/>
    </row>
    <row r="104" spans="2:11" x14ac:dyDescent="0.2">
      <c r="C104" s="113"/>
      <c r="D104" s="113"/>
      <c r="E104" s="113"/>
      <c r="F104" s="113"/>
      <c r="G104" s="113"/>
      <c r="H104" s="113"/>
    </row>
    <row r="105" spans="2:11" ht="20" customHeight="1" x14ac:dyDescent="0.2">
      <c r="B105" s="50" t="s">
        <v>111</v>
      </c>
      <c r="C105" s="110"/>
      <c r="D105" s="110"/>
      <c r="E105" s="113"/>
      <c r="F105" s="113"/>
      <c r="G105" s="113"/>
      <c r="H105" s="113"/>
    </row>
    <row r="106" spans="2:11" ht="20" customHeight="1" x14ac:dyDescent="0.2">
      <c r="B106" s="49" t="s">
        <v>112</v>
      </c>
      <c r="C106" s="112">
        <f>C168</f>
        <v>0</v>
      </c>
      <c r="D106" s="112">
        <f t="shared" ref="D106:H106" si="18">D168</f>
        <v>61200</v>
      </c>
      <c r="E106" s="112">
        <f t="shared" si="18"/>
        <v>61200</v>
      </c>
      <c r="F106" s="112">
        <f t="shared" si="18"/>
        <v>61200</v>
      </c>
      <c r="G106" s="112">
        <f t="shared" si="18"/>
        <v>61200</v>
      </c>
      <c r="H106" s="112">
        <f t="shared" si="18"/>
        <v>61200</v>
      </c>
      <c r="I106" s="85"/>
      <c r="J106" s="85"/>
    </row>
    <row r="107" spans="2:11" ht="20" customHeight="1" x14ac:dyDescent="0.2">
      <c r="C107" s="113"/>
      <c r="D107" s="113"/>
      <c r="E107" s="113"/>
      <c r="F107" s="113"/>
      <c r="G107" s="113"/>
      <c r="H107" s="113"/>
    </row>
    <row r="108" spans="2:11" ht="20" customHeight="1" thickBot="1" x14ac:dyDescent="0.25">
      <c r="B108" s="98" t="s">
        <v>113</v>
      </c>
      <c r="C108" s="114">
        <f>-SUM(C106:C106)</f>
        <v>0</v>
      </c>
      <c r="D108" s="114">
        <f t="shared" ref="D108:H108" si="19">-SUM(D106:D106)</f>
        <v>-61200</v>
      </c>
      <c r="E108" s="114">
        <f t="shared" si="19"/>
        <v>-61200</v>
      </c>
      <c r="F108" s="114">
        <f t="shared" si="19"/>
        <v>-61200</v>
      </c>
      <c r="G108" s="114">
        <f t="shared" si="19"/>
        <v>-61200</v>
      </c>
      <c r="H108" s="114">
        <f t="shared" si="19"/>
        <v>-61200</v>
      </c>
      <c r="I108" s="86"/>
      <c r="J108" s="86"/>
    </row>
    <row r="109" spans="2:11" ht="20" customHeight="1" thickTop="1" x14ac:dyDescent="0.2">
      <c r="C109" s="113"/>
      <c r="D109" s="113"/>
      <c r="E109" s="113"/>
      <c r="F109" s="113"/>
      <c r="G109" s="113"/>
      <c r="H109" s="113"/>
    </row>
    <row r="110" spans="2:11" s="69" customFormat="1" ht="20" customHeight="1" x14ac:dyDescent="0.2">
      <c r="B110" s="87" t="s">
        <v>114</v>
      </c>
      <c r="C110" s="115"/>
      <c r="D110" s="115"/>
      <c r="E110" s="115"/>
      <c r="F110" s="115"/>
      <c r="G110" s="115"/>
      <c r="H110" s="115"/>
    </row>
    <row r="111" spans="2:11" ht="20" customHeight="1" x14ac:dyDescent="0.2">
      <c r="B111" s="50"/>
      <c r="C111" s="110"/>
      <c r="D111" s="110"/>
      <c r="E111" s="110"/>
      <c r="F111" s="110"/>
      <c r="G111" s="110"/>
      <c r="H111" s="110"/>
      <c r="I111" s="86"/>
      <c r="J111" s="86"/>
      <c r="K111" s="86"/>
    </row>
    <row r="112" spans="2:11" ht="20" customHeight="1" x14ac:dyDescent="0.2">
      <c r="B112" s="49" t="s">
        <v>109</v>
      </c>
      <c r="C112" s="113">
        <f t="shared" ref="C112:H112" si="20">C83</f>
        <v>0</v>
      </c>
      <c r="D112" s="113">
        <f t="shared" si="20"/>
        <v>54144.821917808222</v>
      </c>
      <c r="E112" s="113">
        <f t="shared" si="20"/>
        <v>74454.263013698626</v>
      </c>
      <c r="F112" s="113">
        <f t="shared" si="20"/>
        <v>102411.57205479451</v>
      </c>
      <c r="G112" s="113">
        <f t="shared" si="20"/>
        <v>160805.90745205479</v>
      </c>
      <c r="H112" s="113">
        <f t="shared" si="20"/>
        <v>203569.29259726027</v>
      </c>
      <c r="I112" s="76"/>
      <c r="J112" s="76"/>
      <c r="K112" s="86"/>
    </row>
    <row r="113" spans="2:11" ht="20" customHeight="1" x14ac:dyDescent="0.2">
      <c r="B113" s="49" t="s">
        <v>110</v>
      </c>
      <c r="C113" s="113">
        <f t="shared" ref="C113:H113" si="21">C101</f>
        <v>-306000</v>
      </c>
      <c r="D113" s="113">
        <f t="shared" si="21"/>
        <v>0</v>
      </c>
      <c r="E113" s="113">
        <f t="shared" si="21"/>
        <v>0</v>
      </c>
      <c r="F113" s="113">
        <f t="shared" si="21"/>
        <v>0</v>
      </c>
      <c r="G113" s="113">
        <f t="shared" si="21"/>
        <v>0</v>
      </c>
      <c r="H113" s="113">
        <f t="shared" si="21"/>
        <v>0</v>
      </c>
      <c r="I113" s="76"/>
      <c r="J113" s="76"/>
      <c r="K113" s="86"/>
    </row>
    <row r="114" spans="2:11" ht="23" customHeight="1" x14ac:dyDescent="0.2">
      <c r="B114" s="49" t="s">
        <v>113</v>
      </c>
      <c r="C114" s="113">
        <f>C108</f>
        <v>0</v>
      </c>
      <c r="D114" s="113">
        <f t="shared" ref="D114:H114" si="22">D108</f>
        <v>-61200</v>
      </c>
      <c r="E114" s="113">
        <f t="shared" si="22"/>
        <v>-61200</v>
      </c>
      <c r="F114" s="113">
        <f t="shared" si="22"/>
        <v>-61200</v>
      </c>
      <c r="G114" s="113">
        <f t="shared" si="22"/>
        <v>-61200</v>
      </c>
      <c r="H114" s="113">
        <f t="shared" si="22"/>
        <v>-61200</v>
      </c>
      <c r="I114" s="86" t="s">
        <v>153</v>
      </c>
      <c r="J114" s="76"/>
      <c r="K114" s="51"/>
    </row>
    <row r="115" spans="2:11" ht="20" customHeight="1" thickBot="1" x14ac:dyDescent="0.25">
      <c r="B115" s="116" t="s">
        <v>114</v>
      </c>
      <c r="C115" s="117">
        <f t="shared" ref="C115" si="23">C112+C113+C114</f>
        <v>-306000</v>
      </c>
      <c r="D115" s="117">
        <f>D112+D113+D114</f>
        <v>-7055.1780821917782</v>
      </c>
      <c r="E115" s="117">
        <f t="shared" ref="E115:H115" si="24">E112+E113+E114</f>
        <v>13254.263013698626</v>
      </c>
      <c r="F115" s="117">
        <f t="shared" si="24"/>
        <v>41211.572054794509</v>
      </c>
      <c r="G115" s="117">
        <f t="shared" si="24"/>
        <v>99605.907452054787</v>
      </c>
      <c r="H115" s="117">
        <f t="shared" si="24"/>
        <v>142369.29259726027</v>
      </c>
      <c r="I115" s="117">
        <f>H115*(1+C35)/(C34-C35)</f>
        <v>2989755.1445424655</v>
      </c>
      <c r="J115" s="86"/>
      <c r="K115" s="86"/>
    </row>
    <row r="116" spans="2:11" ht="20" customHeight="1" thickTop="1" x14ac:dyDescent="0.2">
      <c r="B116" s="50"/>
      <c r="C116" s="91"/>
      <c r="D116" s="91"/>
      <c r="E116" s="86"/>
      <c r="F116" s="86"/>
      <c r="G116" s="86"/>
      <c r="H116" s="86"/>
      <c r="I116" s="105"/>
      <c r="J116" s="86"/>
    </row>
    <row r="117" spans="2:11" ht="20" customHeight="1" x14ac:dyDescent="0.2">
      <c r="B117" s="21" t="s">
        <v>115</v>
      </c>
      <c r="C117" s="118">
        <f>C115</f>
        <v>-306000</v>
      </c>
      <c r="D117" s="118">
        <f>C117+D115</f>
        <v>-313055.17808219179</v>
      </c>
      <c r="E117" s="118">
        <f t="shared" ref="E117:H117" si="25">D117+E115</f>
        <v>-299800.91506849317</v>
      </c>
      <c r="F117" s="118">
        <f t="shared" si="25"/>
        <v>-258589.34301369864</v>
      </c>
      <c r="G117" s="118">
        <f t="shared" si="25"/>
        <v>-158983.43556164386</v>
      </c>
      <c r="H117" s="118">
        <f t="shared" si="25"/>
        <v>-16614.142964383587</v>
      </c>
      <c r="I117" s="118">
        <f>I115+H117</f>
        <v>2973141.0015780819</v>
      </c>
      <c r="J117" s="86"/>
      <c r="K117" s="86"/>
    </row>
    <row r="118" spans="2:11" ht="20" customHeight="1" x14ac:dyDescent="0.2">
      <c r="B118" s="92"/>
      <c r="C118" s="93"/>
      <c r="D118" s="93"/>
      <c r="E118" s="86"/>
      <c r="F118" s="86"/>
      <c r="G118" s="86"/>
      <c r="H118" s="86"/>
      <c r="I118" s="86"/>
      <c r="J118" s="86"/>
      <c r="K118" s="86"/>
    </row>
    <row r="119" spans="2:11" ht="20" customHeight="1" x14ac:dyDescent="0.2">
      <c r="B119" s="92"/>
      <c r="C119" s="93"/>
      <c r="D119" s="93"/>
      <c r="E119" s="86"/>
      <c r="F119" s="86"/>
      <c r="G119" s="86"/>
      <c r="H119" s="86"/>
      <c r="I119" s="86"/>
      <c r="J119" s="86"/>
      <c r="K119" s="86"/>
    </row>
    <row r="120" spans="2:11" ht="20" customHeight="1" x14ac:dyDescent="0.2">
      <c r="B120" s="92"/>
      <c r="C120" s="93"/>
      <c r="D120" s="93"/>
      <c r="E120" s="86"/>
      <c r="F120" s="86"/>
      <c r="G120" s="86"/>
      <c r="H120" s="86"/>
      <c r="I120" s="86"/>
      <c r="J120" s="86"/>
      <c r="K120" s="86"/>
    </row>
    <row r="121" spans="2:11" ht="20" customHeight="1" x14ac:dyDescent="0.2">
      <c r="B121" s="92"/>
      <c r="C121" s="93"/>
      <c r="D121" s="93"/>
      <c r="E121" s="86"/>
      <c r="F121" s="86"/>
      <c r="G121" s="86"/>
      <c r="H121" s="86"/>
      <c r="I121" s="86"/>
      <c r="J121" s="86"/>
      <c r="K121" s="86"/>
    </row>
    <row r="122" spans="2:11" ht="20" customHeight="1" x14ac:dyDescent="0.2">
      <c r="B122" s="92"/>
      <c r="C122" s="93"/>
      <c r="D122" s="93"/>
      <c r="E122" s="86"/>
      <c r="F122" s="86"/>
      <c r="G122" s="86"/>
      <c r="H122" s="86"/>
      <c r="I122" s="86"/>
      <c r="J122" s="86"/>
      <c r="K122" s="86"/>
    </row>
    <row r="123" spans="2:11" ht="20" customHeight="1" x14ac:dyDescent="0.2">
      <c r="B123" s="92"/>
      <c r="C123" s="93"/>
      <c r="D123" s="93"/>
      <c r="E123" s="86"/>
      <c r="F123" s="86"/>
      <c r="G123" s="86"/>
      <c r="H123" s="86"/>
      <c r="I123" s="86"/>
      <c r="J123" s="86"/>
      <c r="K123" s="86"/>
    </row>
    <row r="124" spans="2:11" ht="20" customHeight="1" x14ac:dyDescent="0.2">
      <c r="B124" s="92"/>
      <c r="C124" s="93"/>
      <c r="D124" s="93"/>
      <c r="E124" s="86"/>
      <c r="F124" s="86"/>
      <c r="G124" s="86"/>
      <c r="H124" s="86"/>
      <c r="I124" s="86"/>
      <c r="J124" s="86"/>
      <c r="K124" s="86"/>
    </row>
    <row r="125" spans="2:11" ht="20" customHeight="1" x14ac:dyDescent="0.2">
      <c r="B125" s="92"/>
      <c r="C125" s="93"/>
      <c r="D125" s="93"/>
      <c r="E125" s="86"/>
      <c r="F125" s="86"/>
      <c r="G125" s="86"/>
      <c r="H125" s="86"/>
      <c r="I125" s="86"/>
      <c r="J125" s="86"/>
      <c r="K125" s="86"/>
    </row>
    <row r="126" spans="2:11" ht="20" customHeight="1" x14ac:dyDescent="0.2">
      <c r="B126" s="92"/>
      <c r="C126" s="93"/>
      <c r="D126" s="93"/>
      <c r="E126" s="86"/>
      <c r="F126" s="86"/>
      <c r="G126" s="86"/>
      <c r="H126" s="86"/>
      <c r="I126" s="86"/>
      <c r="J126" s="86"/>
      <c r="K126" s="86"/>
    </row>
    <row r="127" spans="2:11" ht="20" customHeight="1" x14ac:dyDescent="0.2">
      <c r="B127" s="92"/>
      <c r="C127" s="93"/>
      <c r="D127" s="93"/>
      <c r="E127" s="86"/>
      <c r="F127" s="86"/>
      <c r="G127" s="86"/>
      <c r="H127" s="86"/>
      <c r="I127" s="86"/>
      <c r="J127" s="86"/>
      <c r="K127" s="86"/>
    </row>
    <row r="128" spans="2:11" ht="20" customHeight="1" x14ac:dyDescent="0.2">
      <c r="B128" s="92"/>
      <c r="C128" s="93"/>
      <c r="D128" s="93"/>
      <c r="E128" s="86"/>
      <c r="F128" s="86"/>
      <c r="G128" s="86"/>
      <c r="H128" s="86"/>
      <c r="I128" s="86"/>
      <c r="J128" s="86"/>
      <c r="K128" s="86"/>
    </row>
    <row r="129" spans="2:12" ht="20" customHeight="1" x14ac:dyDescent="0.2">
      <c r="B129" s="92"/>
      <c r="C129" s="93"/>
      <c r="D129" s="93"/>
      <c r="E129" s="86"/>
      <c r="F129" s="86"/>
      <c r="G129" s="86"/>
      <c r="H129" s="86"/>
      <c r="I129" s="86"/>
      <c r="J129" s="86"/>
      <c r="K129" s="86"/>
    </row>
    <row r="130" spans="2:12" ht="20" customHeight="1" x14ac:dyDescent="0.2">
      <c r="B130" s="92"/>
      <c r="C130" s="93"/>
      <c r="D130" s="93"/>
      <c r="E130" s="86"/>
      <c r="F130" s="86"/>
      <c r="G130" s="86"/>
      <c r="H130" s="86"/>
      <c r="I130" s="86"/>
      <c r="J130" s="86"/>
      <c r="K130" s="86"/>
    </row>
    <row r="131" spans="2:12" ht="20" customHeight="1" x14ac:dyDescent="0.2">
      <c r="B131" s="92"/>
      <c r="C131" s="93"/>
      <c r="D131" s="93"/>
      <c r="E131" s="86"/>
      <c r="F131" s="86"/>
      <c r="G131" s="86"/>
      <c r="H131" s="86"/>
      <c r="I131" s="86"/>
      <c r="J131" s="86"/>
      <c r="K131" s="86"/>
    </row>
    <row r="132" spans="2:12" ht="20" customHeight="1" x14ac:dyDescent="0.2">
      <c r="B132" s="92"/>
      <c r="C132" s="93"/>
      <c r="D132" s="93"/>
      <c r="E132" s="86"/>
      <c r="F132" s="86"/>
      <c r="G132" s="86"/>
      <c r="H132" s="86"/>
      <c r="I132" s="86"/>
      <c r="J132" s="86"/>
      <c r="K132" s="86"/>
    </row>
    <row r="133" spans="2:12" ht="20" customHeight="1" x14ac:dyDescent="0.2">
      <c r="B133" s="92"/>
      <c r="C133" s="93"/>
      <c r="D133" s="93"/>
      <c r="E133" s="86"/>
      <c r="F133" s="86"/>
      <c r="G133" s="86"/>
      <c r="H133" s="86"/>
      <c r="I133" s="86"/>
      <c r="J133" s="86"/>
      <c r="K133" s="86"/>
    </row>
    <row r="134" spans="2:12" ht="20" customHeight="1" x14ac:dyDescent="0.2">
      <c r="B134" s="92"/>
      <c r="C134" s="93"/>
      <c r="D134" s="93"/>
      <c r="E134" s="86"/>
      <c r="F134" s="86"/>
      <c r="G134" s="86"/>
      <c r="H134" s="86"/>
      <c r="I134" s="86"/>
      <c r="J134" s="86"/>
      <c r="K134" s="86"/>
    </row>
    <row r="135" spans="2:12" ht="20" customHeight="1" x14ac:dyDescent="0.2">
      <c r="B135" s="92"/>
      <c r="C135" s="93"/>
      <c r="D135" s="93"/>
      <c r="E135" s="86"/>
      <c r="F135" s="86"/>
      <c r="G135" s="86"/>
      <c r="H135" s="86"/>
      <c r="I135" s="86"/>
      <c r="J135" s="86"/>
      <c r="K135" s="86"/>
    </row>
    <row r="136" spans="2:12" ht="20" customHeight="1" x14ac:dyDescent="0.2">
      <c r="B136" s="92"/>
      <c r="C136" s="93"/>
      <c r="D136" s="93"/>
      <c r="E136" s="86"/>
      <c r="F136" s="86"/>
      <c r="G136" s="86"/>
      <c r="H136" s="86"/>
      <c r="I136" s="86"/>
      <c r="J136" s="86"/>
      <c r="K136" s="86"/>
    </row>
    <row r="137" spans="2:12" ht="20" customHeight="1" x14ac:dyDescent="0.2">
      <c r="B137" s="92"/>
      <c r="C137" s="93"/>
      <c r="D137" s="93"/>
      <c r="E137" s="86"/>
      <c r="F137" s="86"/>
      <c r="G137" s="86"/>
      <c r="H137" s="86"/>
      <c r="I137" s="86"/>
      <c r="J137" s="86"/>
      <c r="K137" s="86"/>
    </row>
    <row r="138" spans="2:12" ht="20" customHeight="1" x14ac:dyDescent="0.2">
      <c r="B138" s="92"/>
      <c r="C138" s="93"/>
      <c r="D138" s="93"/>
      <c r="E138" s="86"/>
      <c r="F138" s="86"/>
      <c r="G138" s="86"/>
      <c r="H138" s="86"/>
      <c r="I138" s="86"/>
      <c r="J138" s="86"/>
      <c r="K138" s="86"/>
    </row>
    <row r="139" spans="2:12" ht="20" customHeight="1" x14ac:dyDescent="0.2">
      <c r="B139" s="92"/>
      <c r="C139" s="93"/>
      <c r="D139" s="93"/>
      <c r="E139" s="86"/>
      <c r="F139" s="86"/>
      <c r="G139" s="86"/>
      <c r="H139" s="86"/>
      <c r="I139" s="86"/>
      <c r="J139" s="86"/>
      <c r="K139" s="86"/>
    </row>
    <row r="140" spans="2:12" ht="20" customHeight="1" x14ac:dyDescent="0.2">
      <c r="B140" s="92"/>
      <c r="C140" s="93"/>
      <c r="D140" s="93"/>
      <c r="E140" s="86"/>
      <c r="F140" s="86"/>
      <c r="G140" s="86"/>
      <c r="H140" s="86"/>
      <c r="I140" s="86"/>
      <c r="J140" s="86"/>
      <c r="K140" s="86"/>
    </row>
    <row r="141" spans="2:12" s="58" customFormat="1" ht="20" customHeight="1" x14ac:dyDescent="0.2">
      <c r="B141" s="61" t="s">
        <v>135</v>
      </c>
      <c r="C141" s="64" t="s">
        <v>4</v>
      </c>
      <c r="D141" s="65" t="s">
        <v>35</v>
      </c>
      <c r="E141" s="65" t="s">
        <v>36</v>
      </c>
      <c r="F141" s="65" t="s">
        <v>37</v>
      </c>
      <c r="G141" s="65" t="s">
        <v>38</v>
      </c>
      <c r="H141" s="65" t="s">
        <v>39</v>
      </c>
      <c r="I141" s="65" t="s">
        <v>5</v>
      </c>
      <c r="L141" s="73"/>
    </row>
    <row r="142" spans="2:12" s="31" customFormat="1" ht="20" customHeight="1" x14ac:dyDescent="0.2">
      <c r="B142" s="62"/>
      <c r="C142" s="128"/>
      <c r="D142" s="129"/>
      <c r="E142" s="129"/>
      <c r="F142" s="129"/>
      <c r="G142" s="129"/>
      <c r="H142" s="129"/>
      <c r="I142" s="128"/>
      <c r="L142" s="82"/>
    </row>
    <row r="143" spans="2:12" ht="20" customHeight="1" x14ac:dyDescent="0.2">
      <c r="B143" s="130" t="s">
        <v>136</v>
      </c>
      <c r="C143" s="138">
        <f t="shared" ref="C143:I143" si="26">C13</f>
        <v>0</v>
      </c>
      <c r="D143" s="138">
        <f t="shared" si="26"/>
        <v>1</v>
      </c>
      <c r="E143" s="138">
        <f t="shared" si="26"/>
        <v>2</v>
      </c>
      <c r="F143" s="138">
        <f t="shared" si="26"/>
        <v>3</v>
      </c>
      <c r="G143" s="138">
        <f t="shared" si="26"/>
        <v>4</v>
      </c>
      <c r="H143" s="138">
        <f t="shared" si="26"/>
        <v>5</v>
      </c>
      <c r="I143" s="138">
        <f t="shared" si="26"/>
        <v>6</v>
      </c>
      <c r="J143" s="90"/>
    </row>
    <row r="144" spans="2:12" ht="20" customHeight="1" x14ac:dyDescent="0.2">
      <c r="B144" s="49" t="s">
        <v>114</v>
      </c>
      <c r="C144" s="103">
        <f t="shared" ref="C144:I144" si="27">C115</f>
        <v>-306000</v>
      </c>
      <c r="D144" s="103">
        <f t="shared" si="27"/>
        <v>-7055.1780821917782</v>
      </c>
      <c r="E144" s="103">
        <f t="shared" si="27"/>
        <v>13254.263013698626</v>
      </c>
      <c r="F144" s="103">
        <f t="shared" si="27"/>
        <v>41211.572054794509</v>
      </c>
      <c r="G144" s="103">
        <f t="shared" si="27"/>
        <v>99605.907452054787</v>
      </c>
      <c r="H144" s="103">
        <f t="shared" si="27"/>
        <v>142369.29259726027</v>
      </c>
      <c r="I144" s="103">
        <f t="shared" si="27"/>
        <v>2989755.1445424655</v>
      </c>
      <c r="J144" s="90"/>
      <c r="K144" s="90"/>
    </row>
    <row r="145" spans="2:12" ht="20" customHeight="1" x14ac:dyDescent="0.2">
      <c r="B145" s="49" t="s">
        <v>137</v>
      </c>
      <c r="C145" s="103">
        <f>C144/((1+$C$34)^C143)</f>
        <v>-306000</v>
      </c>
      <c r="D145" s="103">
        <f>D144/((1+$C$34)^D143)</f>
        <v>-6413.7982565379798</v>
      </c>
      <c r="E145" s="103">
        <f>E144/((1+$C$34)^E143)</f>
        <v>10953.93637495754</v>
      </c>
      <c r="F145" s="103">
        <f>F144/((1+$C$34)^F143)</f>
        <v>30962.864053188954</v>
      </c>
      <c r="G145" s="103">
        <f>G144/((1+$C$34)^G143)</f>
        <v>68032.175023601361</v>
      </c>
      <c r="H145" s="103">
        <f>H144/((1+$C$34)^H143)</f>
        <v>88400.129522486808</v>
      </c>
      <c r="I145" s="103">
        <f>I144/((1+$C$34)^I143)</f>
        <v>1687638.8363383841</v>
      </c>
      <c r="J145" s="90"/>
      <c r="K145" s="90"/>
    </row>
    <row r="146" spans="2:12" ht="20" customHeight="1" thickBot="1" x14ac:dyDescent="0.25">
      <c r="B146" s="98" t="s">
        <v>138</v>
      </c>
      <c r="C146" s="102">
        <f>C145</f>
        <v>-306000</v>
      </c>
      <c r="D146" s="102">
        <f>C146+D145</f>
        <v>-312413.79825653799</v>
      </c>
      <c r="E146" s="102">
        <f t="shared" ref="E146:I146" si="28">D146+E145</f>
        <v>-301459.86188158044</v>
      </c>
      <c r="F146" s="102">
        <f t="shared" si="28"/>
        <v>-270496.9978283915</v>
      </c>
      <c r="G146" s="102">
        <f t="shared" si="28"/>
        <v>-202464.82280479014</v>
      </c>
      <c r="H146" s="102">
        <f t="shared" si="28"/>
        <v>-114064.69328230333</v>
      </c>
      <c r="I146" s="102">
        <f t="shared" si="28"/>
        <v>1573574.1430560807</v>
      </c>
      <c r="J146" s="90"/>
    </row>
    <row r="147" spans="2:12" ht="20" customHeight="1" thickTop="1" x14ac:dyDescent="0.2">
      <c r="E147" s="90"/>
      <c r="F147" s="90"/>
      <c r="G147" s="90"/>
      <c r="H147" s="90"/>
      <c r="I147" s="90"/>
      <c r="J147" s="90"/>
    </row>
    <row r="148" spans="2:12" ht="20" customHeight="1" x14ac:dyDescent="0.2">
      <c r="B148" s="131" t="s">
        <v>139</v>
      </c>
      <c r="C148" s="176">
        <f>NPV(C34,D144:I144)+C144</f>
        <v>1573574.1430560807</v>
      </c>
      <c r="E148" s="90"/>
      <c r="F148" s="90"/>
      <c r="G148" s="90"/>
      <c r="H148" s="90"/>
      <c r="I148" s="90"/>
      <c r="J148" s="90"/>
      <c r="K148" s="90"/>
    </row>
    <row r="149" spans="2:12" ht="20" customHeight="1" x14ac:dyDescent="0.2">
      <c r="B149" s="131"/>
    </row>
    <row r="150" spans="2:12" ht="20" customHeight="1" x14ac:dyDescent="0.2">
      <c r="B150" s="131" t="s">
        <v>140</v>
      </c>
      <c r="C150" s="133">
        <f>IRR(C144:I144)</f>
        <v>0.50706001070183349</v>
      </c>
      <c r="D150" s="50"/>
    </row>
    <row r="151" spans="2:12" ht="20" customHeight="1" x14ac:dyDescent="0.2">
      <c r="B151" s="131"/>
      <c r="E151" s="76"/>
      <c r="F151" s="76"/>
      <c r="G151" s="76"/>
      <c r="H151" s="76"/>
      <c r="I151" s="76"/>
      <c r="J151" s="76"/>
      <c r="K151" s="86"/>
    </row>
    <row r="152" spans="2:12" ht="20" customHeight="1" x14ac:dyDescent="0.2">
      <c r="B152" s="131" t="s">
        <v>54</v>
      </c>
      <c r="C152" s="139" t="str" cm="1">
        <f t="array" ref="C152">ROUND(IFERROR(COUNTIF(D146:I146,"&lt;"&amp;0)+INDEX(D152:I152,,COUNTIF(D146:I146,"&lt;"&amp;0)+1),"&gt; Nil"),2) &amp;" years"</f>
        <v>5.93 years</v>
      </c>
      <c r="D152" s="49" t="str">
        <f>IF(D146&lt;0," - ",D146/D145)</f>
        <v xml:space="preserve"> - </v>
      </c>
      <c r="E152" s="49" t="str">
        <f t="shared" ref="E152:I152" si="29">IF(E146&lt;0," - ",E146/E145)</f>
        <v xml:space="preserve"> - </v>
      </c>
      <c r="F152" s="49" t="str">
        <f t="shared" si="29"/>
        <v xml:space="preserve"> - </v>
      </c>
      <c r="G152" s="49" t="str">
        <f t="shared" si="29"/>
        <v xml:space="preserve"> - </v>
      </c>
      <c r="H152" s="49" t="str">
        <f t="shared" si="29"/>
        <v xml:space="preserve"> - </v>
      </c>
      <c r="I152" s="49">
        <f t="shared" si="29"/>
        <v>0.93241166840543566</v>
      </c>
      <c r="J152" s="76"/>
    </row>
    <row r="153" spans="2:12" ht="20" customHeight="1" x14ac:dyDescent="0.2">
      <c r="B153" s="131"/>
      <c r="E153" s="76"/>
      <c r="F153" s="76"/>
      <c r="G153" s="76"/>
      <c r="H153" s="76"/>
      <c r="I153" s="76"/>
      <c r="J153" s="76"/>
    </row>
    <row r="154" spans="2:12" ht="20" customHeight="1" x14ac:dyDescent="0.2">
      <c r="B154" s="132" t="s">
        <v>141</v>
      </c>
      <c r="C154" s="133">
        <f>ABS(C148/SUM(C101:H101))-1</f>
        <v>4.1423991603139889</v>
      </c>
      <c r="E154" s="90"/>
      <c r="F154" s="90"/>
      <c r="G154" s="90"/>
      <c r="H154" s="90"/>
      <c r="I154" s="90"/>
      <c r="J154" s="90"/>
    </row>
    <row r="155" spans="2:12" ht="20" customHeight="1" x14ac:dyDescent="0.2">
      <c r="B155" s="92"/>
      <c r="C155" s="93"/>
      <c r="D155" s="93"/>
      <c r="E155" s="86"/>
      <c r="F155" s="86"/>
      <c r="G155" s="86"/>
      <c r="H155" s="86"/>
      <c r="I155" s="86"/>
      <c r="J155" s="86"/>
      <c r="K155" s="86"/>
    </row>
    <row r="156" spans="2:12" ht="20" customHeight="1" x14ac:dyDescent="0.2">
      <c r="B156" s="92"/>
      <c r="C156" s="93"/>
      <c r="D156" s="93"/>
      <c r="E156" s="86"/>
      <c r="F156" s="86"/>
      <c r="G156" s="86"/>
      <c r="H156" s="86"/>
      <c r="I156" s="86"/>
      <c r="J156" s="86"/>
      <c r="K156" s="86"/>
    </row>
    <row r="157" spans="2:12" s="58" customFormat="1" ht="20" customHeight="1" x14ac:dyDescent="0.2">
      <c r="B157" s="61" t="s">
        <v>118</v>
      </c>
      <c r="C157" s="64" t="s">
        <v>4</v>
      </c>
      <c r="D157" s="65" t="s">
        <v>35</v>
      </c>
      <c r="E157" s="65" t="s">
        <v>36</v>
      </c>
      <c r="F157" s="65" t="s">
        <v>37</v>
      </c>
      <c r="G157" s="65" t="s">
        <v>38</v>
      </c>
      <c r="H157" s="65" t="s">
        <v>39</v>
      </c>
      <c r="I157" s="65" t="s">
        <v>5</v>
      </c>
      <c r="L157" s="73"/>
    </row>
    <row r="158" spans="2:12" ht="20" customHeight="1" x14ac:dyDescent="0.2">
      <c r="B158" s="92"/>
      <c r="C158" s="93"/>
      <c r="D158" s="93"/>
      <c r="E158" s="86"/>
      <c r="F158" s="86"/>
      <c r="G158" s="86"/>
      <c r="H158" s="86"/>
      <c r="I158" s="86"/>
      <c r="J158" s="86"/>
      <c r="K158" s="86"/>
    </row>
    <row r="159" spans="2:12" s="89" customFormat="1" ht="20" customHeight="1" x14ac:dyDescent="0.2">
      <c r="B159" s="123" t="s">
        <v>120</v>
      </c>
      <c r="C159" s="124"/>
      <c r="D159" s="124"/>
      <c r="E159" s="125"/>
      <c r="F159" s="125"/>
      <c r="G159" s="125"/>
      <c r="H159" s="125"/>
      <c r="I159" s="125"/>
      <c r="J159" s="125"/>
      <c r="K159" s="125"/>
    </row>
    <row r="160" spans="2:12" ht="20" customHeight="1" x14ac:dyDescent="0.2">
      <c r="B160" s="49" t="s">
        <v>121</v>
      </c>
      <c r="C160" s="85">
        <v>0</v>
      </c>
      <c r="D160" s="90">
        <f>C163</f>
        <v>306000</v>
      </c>
      <c r="E160" s="90">
        <f t="shared" ref="E160:H160" si="30">D163</f>
        <v>275400</v>
      </c>
      <c r="F160" s="90">
        <f t="shared" si="30"/>
        <v>247860</v>
      </c>
      <c r="G160" s="90">
        <f t="shared" si="30"/>
        <v>223074</v>
      </c>
      <c r="H160" s="90">
        <f t="shared" si="30"/>
        <v>200766.6</v>
      </c>
      <c r="I160" s="90">
        <f>H163</f>
        <v>180689.94</v>
      </c>
      <c r="J160" s="86"/>
      <c r="K160" s="86"/>
    </row>
    <row r="161" spans="2:12" ht="20" customHeight="1" x14ac:dyDescent="0.2">
      <c r="B161" s="49" t="s">
        <v>122</v>
      </c>
      <c r="C161" s="76">
        <f t="shared" ref="C161:H161" si="31">-C101</f>
        <v>306000</v>
      </c>
      <c r="D161" s="76">
        <f>-D101</f>
        <v>0</v>
      </c>
      <c r="E161" s="76">
        <f t="shared" si="31"/>
        <v>0</v>
      </c>
      <c r="F161" s="76">
        <f t="shared" si="31"/>
        <v>0</v>
      </c>
      <c r="G161" s="76">
        <f t="shared" si="31"/>
        <v>0</v>
      </c>
      <c r="H161" s="76">
        <f t="shared" si="31"/>
        <v>0</v>
      </c>
      <c r="I161" s="50"/>
      <c r="J161" s="86"/>
      <c r="K161" s="86"/>
    </row>
    <row r="162" spans="2:12" ht="20" customHeight="1" x14ac:dyDescent="0.2">
      <c r="B162" s="49" t="s">
        <v>123</v>
      </c>
      <c r="C162" s="90">
        <v>0</v>
      </c>
      <c r="D162" s="90">
        <f>D160*$C$19</f>
        <v>30600</v>
      </c>
      <c r="E162" s="90">
        <f>E160*$C$19</f>
        <v>27540</v>
      </c>
      <c r="F162" s="90">
        <f>F160*$C$19</f>
        <v>24786</v>
      </c>
      <c r="G162" s="90">
        <f>G160*$C$19</f>
        <v>22307.4</v>
      </c>
      <c r="H162" s="90">
        <f>H160*$C$19</f>
        <v>20076.660000000003</v>
      </c>
      <c r="J162" s="86"/>
      <c r="K162" s="86"/>
    </row>
    <row r="163" spans="2:12" ht="20" customHeight="1" thickBot="1" x14ac:dyDescent="0.25">
      <c r="B163" s="99" t="s">
        <v>125</v>
      </c>
      <c r="C163" s="126">
        <f t="shared" ref="C163:H163" si="32">C160+C161-C162</f>
        <v>306000</v>
      </c>
      <c r="D163" s="126">
        <f>D160+D161-D162</f>
        <v>275400</v>
      </c>
      <c r="E163" s="126">
        <f t="shared" si="32"/>
        <v>247860</v>
      </c>
      <c r="F163" s="126">
        <f t="shared" si="32"/>
        <v>223074</v>
      </c>
      <c r="G163" s="126">
        <f t="shared" si="32"/>
        <v>200766.6</v>
      </c>
      <c r="H163" s="126">
        <f t="shared" si="32"/>
        <v>180689.94</v>
      </c>
      <c r="J163" s="86"/>
      <c r="K163" s="86"/>
    </row>
    <row r="164" spans="2:12" ht="20" customHeight="1" thickTop="1" x14ac:dyDescent="0.2">
      <c r="B164" s="50"/>
      <c r="C164" s="90"/>
      <c r="D164" s="90"/>
      <c r="E164" s="90"/>
      <c r="F164" s="90"/>
      <c r="G164" s="90"/>
      <c r="H164" s="90"/>
      <c r="J164" s="86"/>
      <c r="K164" s="86"/>
    </row>
    <row r="165" spans="2:12" ht="20" customHeight="1" x14ac:dyDescent="0.2">
      <c r="B165" s="12" t="s">
        <v>126</v>
      </c>
      <c r="C165" s="90"/>
      <c r="D165" s="90"/>
      <c r="E165" s="90"/>
      <c r="F165" s="90"/>
      <c r="G165" s="90"/>
      <c r="H165" s="90"/>
      <c r="J165" s="86"/>
      <c r="K165" s="86"/>
    </row>
    <row r="166" spans="2:12" ht="20" customHeight="1" x14ac:dyDescent="0.2">
      <c r="B166" s="49" t="s">
        <v>127</v>
      </c>
      <c r="C166" s="85">
        <v>0</v>
      </c>
      <c r="D166" s="90">
        <f>C169</f>
        <v>306000</v>
      </c>
      <c r="E166" s="90">
        <f t="shared" ref="E166:H166" si="33">D169</f>
        <v>244800</v>
      </c>
      <c r="F166" s="90">
        <f t="shared" si="33"/>
        <v>183600</v>
      </c>
      <c r="G166" s="90">
        <f t="shared" si="33"/>
        <v>122400</v>
      </c>
      <c r="H166" s="90">
        <f t="shared" si="33"/>
        <v>61200</v>
      </c>
      <c r="I166" s="90">
        <f>H169</f>
        <v>0</v>
      </c>
      <c r="J166" s="86"/>
      <c r="K166" s="86"/>
    </row>
    <row r="167" spans="2:12" ht="20" customHeight="1" x14ac:dyDescent="0.2">
      <c r="B167" s="49" t="s">
        <v>128</v>
      </c>
      <c r="C167" s="85">
        <f t="shared" ref="C167:H167" si="34">C161</f>
        <v>306000</v>
      </c>
      <c r="D167" s="90">
        <f t="shared" si="34"/>
        <v>0</v>
      </c>
      <c r="E167" s="90">
        <f t="shared" si="34"/>
        <v>0</v>
      </c>
      <c r="F167" s="90">
        <f t="shared" si="34"/>
        <v>0</v>
      </c>
      <c r="G167" s="90">
        <f t="shared" si="34"/>
        <v>0</v>
      </c>
      <c r="H167" s="90">
        <f t="shared" si="34"/>
        <v>0</v>
      </c>
      <c r="I167" s="90"/>
      <c r="J167" s="86"/>
      <c r="K167" s="86"/>
    </row>
    <row r="168" spans="2:12" ht="20" customHeight="1" x14ac:dyDescent="0.2">
      <c r="B168" s="49" t="s">
        <v>112</v>
      </c>
      <c r="C168" s="85">
        <v>0</v>
      </c>
      <c r="D168" s="90">
        <f>$C$167*$C$31</f>
        <v>61200</v>
      </c>
      <c r="E168" s="90">
        <f>$C$167*$C$31</f>
        <v>61200</v>
      </c>
      <c r="F168" s="90">
        <f>$C$167*$C$31</f>
        <v>61200</v>
      </c>
      <c r="G168" s="90">
        <f>$C$167*$C$31</f>
        <v>61200</v>
      </c>
      <c r="H168" s="90">
        <f>$C$167*$C$31</f>
        <v>61200</v>
      </c>
      <c r="J168" s="86"/>
      <c r="K168" s="86"/>
    </row>
    <row r="169" spans="2:12" ht="20" customHeight="1" thickBot="1" x14ac:dyDescent="0.25">
      <c r="B169" s="99" t="s">
        <v>129</v>
      </c>
      <c r="C169" s="126">
        <f>C166+C167-C168</f>
        <v>306000</v>
      </c>
      <c r="D169" s="126">
        <f>D166+D167-D168</f>
        <v>244800</v>
      </c>
      <c r="E169" s="126">
        <f t="shared" ref="E169:H169" si="35">E166+E167-E168</f>
        <v>183600</v>
      </c>
      <c r="F169" s="126">
        <f t="shared" si="35"/>
        <v>122400</v>
      </c>
      <c r="G169" s="126">
        <f t="shared" si="35"/>
        <v>61200</v>
      </c>
      <c r="H169" s="126">
        <f t="shared" si="35"/>
        <v>0</v>
      </c>
      <c r="J169" s="86"/>
      <c r="K169" s="86"/>
    </row>
    <row r="170" spans="2:12" ht="20" customHeight="1" thickTop="1" x14ac:dyDescent="0.2">
      <c r="C170" s="90"/>
      <c r="D170" s="90"/>
      <c r="E170" s="90"/>
      <c r="F170" s="90"/>
      <c r="G170" s="90"/>
      <c r="H170" s="90"/>
      <c r="J170" s="86"/>
      <c r="K170" s="86"/>
    </row>
    <row r="171" spans="2:12" ht="20" customHeight="1" x14ac:dyDescent="0.2">
      <c r="B171" s="49" t="s">
        <v>130</v>
      </c>
      <c r="C171" s="90">
        <f>C166*$C$30</f>
        <v>0</v>
      </c>
      <c r="D171" s="90">
        <f t="shared" ref="D171:H171" si="36">D166*$C$30</f>
        <v>30600</v>
      </c>
      <c r="E171" s="90">
        <f t="shared" si="36"/>
        <v>24480</v>
      </c>
      <c r="F171" s="90">
        <f t="shared" si="36"/>
        <v>18360</v>
      </c>
      <c r="G171" s="90">
        <f t="shared" si="36"/>
        <v>12240</v>
      </c>
      <c r="H171" s="90">
        <f t="shared" si="36"/>
        <v>6120</v>
      </c>
      <c r="I171" s="90"/>
      <c r="J171" s="86"/>
      <c r="K171" s="86"/>
    </row>
    <row r="172" spans="2:12" ht="20" customHeight="1" x14ac:dyDescent="0.2">
      <c r="J172" s="86"/>
      <c r="K172" s="86"/>
    </row>
    <row r="173" spans="2:12" ht="20" customHeight="1" x14ac:dyDescent="0.2">
      <c r="B173" s="12" t="s">
        <v>131</v>
      </c>
      <c r="J173" s="27"/>
      <c r="K173" s="15"/>
      <c r="L173" s="15"/>
    </row>
    <row r="174" spans="2:12" ht="20" customHeight="1" x14ac:dyDescent="0.2">
      <c r="B174" s="49" t="s">
        <v>132</v>
      </c>
      <c r="C174" s="76">
        <f t="shared" ref="C174:H174" si="37">C42*$C$25/365</f>
        <v>0</v>
      </c>
      <c r="D174" s="76">
        <f t="shared" si="37"/>
        <v>22602.739726027397</v>
      </c>
      <c r="E174" s="76">
        <f t="shared" si="37"/>
        <v>23835.616438356163</v>
      </c>
      <c r="F174" s="76">
        <f t="shared" si="37"/>
        <v>28767.123287671231</v>
      </c>
      <c r="G174" s="76">
        <f t="shared" si="37"/>
        <v>39452.054794520547</v>
      </c>
      <c r="H174" s="76">
        <f t="shared" si="37"/>
        <v>45205.479452054795</v>
      </c>
      <c r="I174" s="86"/>
    </row>
    <row r="175" spans="2:12" ht="20" customHeight="1" x14ac:dyDescent="0.2">
      <c r="B175" s="49" t="s">
        <v>15</v>
      </c>
      <c r="C175" s="76">
        <f t="shared" ref="C175:H175" si="38">C43*$C$17*$C$26/365</f>
        <v>0</v>
      </c>
      <c r="D175" s="76">
        <f t="shared" si="38"/>
        <v>7232.8767123287671</v>
      </c>
      <c r="E175" s="76">
        <f t="shared" si="38"/>
        <v>7627.3972602739723</v>
      </c>
      <c r="F175" s="76">
        <f t="shared" si="38"/>
        <v>9205.4794520547948</v>
      </c>
      <c r="G175" s="76">
        <f t="shared" si="38"/>
        <v>12624.657534246575</v>
      </c>
      <c r="H175" s="76">
        <f t="shared" si="38"/>
        <v>14465.753424657534</v>
      </c>
      <c r="J175" s="50"/>
      <c r="K175" s="50"/>
    </row>
    <row r="176" spans="2:12" ht="20" customHeight="1" x14ac:dyDescent="0.2">
      <c r="B176" s="49" t="s">
        <v>133</v>
      </c>
      <c r="C176" s="76">
        <f t="shared" ref="C176:H176" si="39">C43*$C$17*$C$27/365</f>
        <v>0</v>
      </c>
      <c r="D176" s="76">
        <f t="shared" si="39"/>
        <v>3616.4383561643835</v>
      </c>
      <c r="E176" s="76">
        <f t="shared" si="39"/>
        <v>3813.6986301369861</v>
      </c>
      <c r="F176" s="76">
        <f t="shared" si="39"/>
        <v>4602.7397260273974</v>
      </c>
      <c r="G176" s="76">
        <f t="shared" si="39"/>
        <v>6312.3287671232874</v>
      </c>
      <c r="H176" s="76">
        <f t="shared" si="39"/>
        <v>7232.8767123287671</v>
      </c>
      <c r="J176" s="90"/>
      <c r="K176" s="90"/>
    </row>
    <row r="177" spans="2:12" ht="20" customHeight="1" thickBot="1" x14ac:dyDescent="0.25">
      <c r="B177" s="99" t="s">
        <v>134</v>
      </c>
      <c r="C177" s="126">
        <f>C174+C175-C176</f>
        <v>0</v>
      </c>
      <c r="D177" s="126">
        <f t="shared" ref="D177:H177" si="40">D174+D175-D176</f>
        <v>26219.178082191778</v>
      </c>
      <c r="E177" s="126">
        <f t="shared" si="40"/>
        <v>27649.31506849315</v>
      </c>
      <c r="F177" s="126">
        <f t="shared" si="40"/>
        <v>33369.863013698632</v>
      </c>
      <c r="G177" s="126">
        <f t="shared" si="40"/>
        <v>45764.38356164383</v>
      </c>
      <c r="H177" s="126">
        <f t="shared" si="40"/>
        <v>52438.356164383556</v>
      </c>
      <c r="J177" s="76"/>
      <c r="K177" s="50"/>
    </row>
    <row r="178" spans="2:12" ht="20" customHeight="1" thickTop="1" x14ac:dyDescent="0.2">
      <c r="B178" s="49" t="s">
        <v>16</v>
      </c>
      <c r="C178" s="90">
        <v>0</v>
      </c>
      <c r="D178" s="90">
        <f>D177-C177</f>
        <v>26219.178082191778</v>
      </c>
      <c r="E178" s="90">
        <f>E177-D177</f>
        <v>1430.1369863013715</v>
      </c>
      <c r="F178" s="90">
        <f t="shared" ref="F178:G178" si="41">F177-E177</f>
        <v>5720.5479452054824</v>
      </c>
      <c r="G178" s="90">
        <f t="shared" si="41"/>
        <v>12394.520547945198</v>
      </c>
      <c r="H178" s="90">
        <f>H177-G177</f>
        <v>6673.9726027397264</v>
      </c>
      <c r="J178" s="90"/>
    </row>
    <row r="179" spans="2:12" ht="20" customHeight="1" x14ac:dyDescent="0.2">
      <c r="B179" s="50"/>
      <c r="E179" s="94"/>
      <c r="F179" s="94"/>
      <c r="G179" s="94"/>
      <c r="H179" s="94"/>
      <c r="I179" s="94"/>
      <c r="J179" s="94"/>
    </row>
    <row r="181" spans="2:12" ht="20" customHeight="1" x14ac:dyDescent="0.2">
      <c r="B181" s="50"/>
      <c r="C181" s="52"/>
      <c r="E181" s="52"/>
      <c r="F181" s="52"/>
      <c r="G181" s="52"/>
      <c r="H181" s="52"/>
      <c r="I181" s="52"/>
      <c r="J181" s="52"/>
    </row>
    <row r="182" spans="2:12" ht="20" customHeight="1" x14ac:dyDescent="0.2">
      <c r="B182" s="63"/>
      <c r="C182" s="76"/>
      <c r="E182" s="53"/>
      <c r="F182" s="76"/>
      <c r="G182" s="53"/>
      <c r="H182" s="76"/>
      <c r="I182" s="53"/>
      <c r="J182" s="76"/>
    </row>
    <row r="183" spans="2:12" ht="20" customHeight="1" x14ac:dyDescent="0.2">
      <c r="B183" s="63"/>
      <c r="C183" s="76"/>
      <c r="E183" s="53"/>
      <c r="F183" s="76"/>
      <c r="G183" s="53"/>
      <c r="H183" s="76"/>
      <c r="I183" s="53"/>
      <c r="J183" s="76"/>
    </row>
    <row r="184" spans="2:12" ht="20" customHeight="1" x14ac:dyDescent="0.2"/>
    <row r="185" spans="2:12" ht="20" customHeight="1" x14ac:dyDescent="0.2">
      <c r="B185" s="12"/>
      <c r="C185" s="12"/>
      <c r="D185" s="12"/>
      <c r="E185" s="11"/>
      <c r="F185" s="11"/>
      <c r="G185" s="11"/>
      <c r="H185" s="11"/>
      <c r="I185" s="11"/>
      <c r="J185" s="11"/>
      <c r="K185" s="11"/>
      <c r="L185" s="11"/>
    </row>
    <row r="186" spans="2:12" ht="20" customHeight="1" x14ac:dyDescent="0.2">
      <c r="E186" s="95"/>
      <c r="F186" s="95"/>
      <c r="G186" s="54"/>
      <c r="H186" s="95"/>
      <c r="J186" s="96"/>
      <c r="K186" s="96"/>
    </row>
    <row r="187" spans="2:12" ht="20" customHeight="1" x14ac:dyDescent="0.2">
      <c r="E187" s="95"/>
      <c r="F187" s="95"/>
      <c r="G187" s="54"/>
      <c r="H187" s="95"/>
      <c r="J187" s="96"/>
      <c r="K187" s="96"/>
    </row>
    <row r="188" spans="2:12" ht="20" customHeight="1" x14ac:dyDescent="0.2">
      <c r="E188" s="95"/>
      <c r="F188" s="95"/>
      <c r="G188" s="54"/>
      <c r="H188" s="95"/>
      <c r="J188" s="96"/>
      <c r="K188" s="96"/>
    </row>
    <row r="189" spans="2:12" ht="20" customHeight="1" x14ac:dyDescent="0.2">
      <c r="E189" s="95"/>
      <c r="F189" s="95"/>
      <c r="G189" s="54"/>
      <c r="H189" s="95"/>
      <c r="J189" s="96"/>
      <c r="K189" s="96"/>
    </row>
    <row r="190" spans="2:12" ht="20" customHeight="1" x14ac:dyDescent="0.2"/>
    <row r="191" spans="2:12" ht="20" customHeight="1" x14ac:dyDescent="0.2"/>
    <row r="192" spans="2:12" ht="20" customHeight="1" x14ac:dyDescent="0.2"/>
    <row r="193" ht="20" customHeight="1" x14ac:dyDescent="0.2"/>
    <row r="194" ht="20" customHeight="1" x14ac:dyDescent="0.2"/>
    <row r="195" ht="20" customHeight="1" x14ac:dyDescent="0.2"/>
    <row r="196" ht="20" customHeight="1" x14ac:dyDescent="0.2"/>
    <row r="197" ht="20" customHeight="1" x14ac:dyDescent="0.2"/>
    <row r="198" ht="20" customHeight="1" x14ac:dyDescent="0.2"/>
    <row r="199" ht="20" customHeight="1" x14ac:dyDescent="0.2"/>
  </sheetData>
  <mergeCells count="1">
    <mergeCell ref="C2:E2"/>
  </mergeCells>
  <pageMargins left="0.70866141732283472" right="0.70866141732283472" top="0.74803149606299213" bottom="0.74803149606299213" header="0.31496062992125984" footer="0.31496062992125984"/>
  <pageSetup paperSize="8" scale="85" fitToHeight="0" orientation="landscape" r:id="rId1"/>
  <headerFooter>
    <oddHeader>&amp;L&amp;"Century Gothic,Bold Italic"&amp;24Business Case Template</oddHeader>
    <oddFooter>&amp;F&amp;RPage &amp;P</oddFooter>
  </headerFooter>
  <rowBreaks count="2" manualBreakCount="2">
    <brk id="36" max="16383" man="1"/>
    <brk id="17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Slideworks guide</vt:lpstr>
      <vt:lpstr>Project overview</vt:lpstr>
      <vt:lpstr>Options comparison</vt:lpstr>
      <vt:lpstr>Option 1</vt:lpstr>
      <vt:lpstr>Option 2</vt:lpstr>
      <vt:lpstr>Option 3</vt:lpstr>
      <vt:lpstr>'Option 1'!Print_Area</vt:lpstr>
      <vt:lpstr>'Option 2'!Print_Area</vt:lpstr>
      <vt:lpstr>'Option 3'!Print_Area</vt:lpstr>
      <vt:lpstr>'Options comparison'!Print_Area</vt:lpstr>
    </vt:vector>
  </TitlesOfParts>
  <Manager>Slideworks</Manager>
  <Company>Slideworks ApS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Slideworks business case options template</dc:title>
  <dc:subject>Business case options comparison</dc:subject>
  <dc:creator>Slideworks</dc:creator>
  <cp:keywords>business case, business development, financial analysis</cp:keywords>
  <dc:description>Copyright of Slideworks.io. Any unauthorized distribution prohibited. See our full terms and conditions at https://slideworks.io/terms </dc:description>
  <cp:lastModifiedBy>Alexandra Kampmann</cp:lastModifiedBy>
  <dcterms:created xsi:type="dcterms:W3CDTF">2025-02-04T13:25:16Z</dcterms:created>
  <dcterms:modified xsi:type="dcterms:W3CDTF">2025-03-10T10:00:16Z</dcterms:modified>
  <cp:category>Business case</cp:category>
</cp:coreProperties>
</file>