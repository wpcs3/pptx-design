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9"/>
  <workbookPr/>
  <mc:AlternateContent xmlns:mc="http://schemas.openxmlformats.org/markup-compatibility/2006">
    <mc:Choice Requires="x15">
      <x15ac:absPath xmlns:x15ac="http://schemas.microsoft.com/office/spreadsheetml/2010/11/ac" url="/Users/alexandrahazardkampmann/Desktop/SLIDEWORKS/9. Slideworks - Simple Business Case/Template files/Excel files/"/>
    </mc:Choice>
  </mc:AlternateContent>
  <xr:revisionPtr revIDLastSave="0" documentId="13_ncr:1_{FD7A9B4F-F94F-8E48-9416-B6CA637C2402}" xr6:coauthVersionLast="47" xr6:coauthVersionMax="47" xr10:uidLastSave="{00000000-0000-0000-0000-000000000000}"/>
  <bookViews>
    <workbookView xWindow="0" yWindow="500" windowWidth="28800" windowHeight="17500" tabRatio="500" activeTab="3" xr2:uid="{00000000-000D-0000-FFFF-FFFF00000000}"/>
  </bookViews>
  <sheets>
    <sheet name="Slideworks guide" sheetId="19" r:id="rId1"/>
    <sheet name="Project overview" sheetId="20" r:id="rId2"/>
    <sheet name="Back of the envelope case" sheetId="18" r:id="rId3"/>
    <sheet name="Project business case" sheetId="4"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29" i="4" l="1"/>
  <c r="F29" i="4" s="1"/>
  <c r="G29" i="4" s="1"/>
  <c r="H29" i="4" s="1"/>
  <c r="E44" i="4"/>
  <c r="F44" i="4" s="1"/>
  <c r="G44" i="4" s="1"/>
  <c r="H44" i="4" s="1"/>
  <c r="E12" i="4"/>
  <c r="F12" i="4" s="1"/>
  <c r="G12" i="4" s="1"/>
  <c r="H12" i="4" s="1"/>
  <c r="E8" i="4"/>
  <c r="F8" i="4" s="1"/>
  <c r="G8" i="4" s="1"/>
  <c r="H8" i="4" s="1"/>
  <c r="E7" i="4"/>
  <c r="F7" i="4" s="1"/>
  <c r="G7" i="4" s="1"/>
  <c r="H7" i="4" s="1"/>
  <c r="E6" i="4"/>
  <c r="F6" i="4" s="1"/>
  <c r="G6" i="4" s="1"/>
  <c r="H6" i="4" s="1"/>
  <c r="E25" i="4"/>
  <c r="F25" i="4" s="1"/>
  <c r="G25" i="4" s="1"/>
  <c r="H25" i="4" s="1"/>
  <c r="D42" i="4"/>
  <c r="E41" i="4"/>
  <c r="F41" i="4" s="1"/>
  <c r="G41" i="4" s="1"/>
  <c r="H41" i="4" s="1"/>
  <c r="H36" i="4"/>
  <c r="G36" i="4"/>
  <c r="F36" i="4"/>
  <c r="E36" i="4"/>
  <c r="D36" i="4"/>
  <c r="C9" i="18" l="1"/>
  <c r="C13" i="18" s="1"/>
  <c r="C19" i="18" s="1"/>
  <c r="C23" i="18" s="1"/>
  <c r="D10" i="4" l="1"/>
  <c r="D14" i="4" s="1"/>
  <c r="E10" i="4" l="1"/>
  <c r="G10" i="4" l="1"/>
  <c r="F10" i="4"/>
  <c r="H10" i="4" l="1"/>
  <c r="E14" i="4" l="1"/>
  <c r="D19" i="4"/>
  <c r="D37" i="4"/>
  <c r="D33" i="4" s="1"/>
  <c r="F14" i="4" l="1"/>
  <c r="H37" i="4"/>
  <c r="H33" i="4" s="1"/>
  <c r="G37" i="4"/>
  <c r="G33" i="4" s="1"/>
  <c r="C20" i="4"/>
  <c r="G14" i="4" l="1"/>
  <c r="E37" i="4"/>
  <c r="E33" i="4" s="1"/>
  <c r="F37" i="4"/>
  <c r="F33" i="4" s="1"/>
  <c r="H14" i="4" l="1"/>
  <c r="D22" i="4"/>
  <c r="G19" i="4" l="1"/>
  <c r="D21" i="4"/>
  <c r="D27" i="4" s="1"/>
  <c r="D31" i="4" l="1"/>
  <c r="D43" i="4"/>
  <c r="D46" i="4" s="1"/>
  <c r="F19" i="4"/>
  <c r="E19" i="4"/>
  <c r="G20" i="4"/>
  <c r="D48" i="4" l="1"/>
  <c r="F20" i="4"/>
  <c r="E20" i="4"/>
  <c r="G21" i="4"/>
  <c r="G27" i="4" s="1"/>
  <c r="G22" i="4"/>
  <c r="E21" i="4"/>
  <c r="E27" i="4" s="1"/>
  <c r="F21" i="4"/>
  <c r="F27" i="4" s="1"/>
  <c r="H19" i="4"/>
  <c r="D50" i="4" l="1"/>
  <c r="F31" i="4"/>
  <c r="E31" i="4"/>
  <c r="F22" i="4"/>
  <c r="F43" i="4" s="1"/>
  <c r="E22" i="4"/>
  <c r="G43" i="4"/>
  <c r="G46" i="4" s="1"/>
  <c r="H20" i="4"/>
  <c r="H21" i="4"/>
  <c r="H27" i="4" s="1"/>
  <c r="F46" i="4" l="1"/>
  <c r="F48" i="4" s="1"/>
  <c r="H31" i="4"/>
  <c r="H22" i="4"/>
  <c r="H43" i="4" s="1"/>
  <c r="H46" i="4" s="1"/>
  <c r="E43" i="4"/>
  <c r="E46" i="4" l="1"/>
  <c r="E48" i="4" s="1"/>
  <c r="H48" i="4"/>
  <c r="G31" i="4"/>
  <c r="G48" i="4" s="1"/>
  <c r="D57" i="4" l="1"/>
  <c r="D55" i="4"/>
  <c r="D54" i="4"/>
  <c r="D58" i="4" s="1"/>
  <c r="E50" i="4"/>
  <c r="F50" i="4" s="1"/>
  <c r="G50" i="4" s="1"/>
  <c r="H50" i="4" l="1"/>
  <c r="D56" i="4"/>
</calcChain>
</file>

<file path=xl/sharedStrings.xml><?xml version="1.0" encoding="utf-8"?>
<sst xmlns="http://schemas.openxmlformats.org/spreadsheetml/2006/main" count="92" uniqueCount="78">
  <si>
    <t>Business case</t>
  </si>
  <si>
    <t/>
  </si>
  <si>
    <t>Serviceable addressable market SAM</t>
  </si>
  <si>
    <t>Total addressable market TAM</t>
  </si>
  <si>
    <t>Marketing</t>
  </si>
  <si>
    <t>Typical sources to find numbers</t>
  </si>
  <si>
    <t>Number of customers we expect to get</t>
  </si>
  <si>
    <t>Average revenue per customer</t>
  </si>
  <si>
    <t>Total revenue we expect to get</t>
  </si>
  <si>
    <t>National statistics banks, industry reports, consulting reports</t>
  </si>
  <si>
    <t>National statistics banks, industry reports, consulting reports, guesstimates</t>
  </si>
  <si>
    <t>Market size</t>
  </si>
  <si>
    <t>Year 1</t>
  </si>
  <si>
    <t>Year 2</t>
  </si>
  <si>
    <t>Year 5</t>
  </si>
  <si>
    <t>Year 4</t>
  </si>
  <si>
    <t>Year 3</t>
  </si>
  <si>
    <t>Expected market share of SAM</t>
  </si>
  <si>
    <t>Number of customers end of year</t>
  </si>
  <si>
    <t>Number of customers (full year equivalent)</t>
  </si>
  <si>
    <t>Number of new customers</t>
  </si>
  <si>
    <t>Total revenue</t>
  </si>
  <si>
    <t>Gross margin</t>
  </si>
  <si>
    <t>Salary and other personnel expenses</t>
  </si>
  <si>
    <t>Salaries</t>
  </si>
  <si>
    <t>Other personal expenses (lunch etc.)</t>
  </si>
  <si>
    <t>Rent</t>
  </si>
  <si>
    <t>Ad hoc costs</t>
  </si>
  <si>
    <t>Legal</t>
  </si>
  <si>
    <t>IT (hardware, software)</t>
  </si>
  <si>
    <t>Cost-of-sale per customers (CAC)</t>
  </si>
  <si>
    <t>Team size</t>
  </si>
  <si>
    <t>Number of customers in [geo/age group/segment etc.]</t>
  </si>
  <si>
    <t>Number of customers [fulfilling requirement x]</t>
  </si>
  <si>
    <t>Revenue</t>
  </si>
  <si>
    <t>Customer service center</t>
  </si>
  <si>
    <t>Investment case</t>
  </si>
  <si>
    <t>Total investment need</t>
  </si>
  <si>
    <t>Time to break-even (years)</t>
  </si>
  <si>
    <t>Previous projects, similar products/startups/services</t>
  </si>
  <si>
    <t>Previous projects, guesstimate (does it seem realistic), benchmark of similar industries or other parts of the business (e.g. can we reach a similar penetration as the we have in area x)</t>
  </si>
  <si>
    <t>Size of entire market we are looking</t>
  </si>
  <si>
    <t>Share of market that is relevant for our project</t>
  </si>
  <si>
    <t>Expected market share of our project</t>
  </si>
  <si>
    <t>Total costs</t>
  </si>
  <si>
    <t>Cash flow</t>
  </si>
  <si>
    <t>Back of the envelope case</t>
  </si>
  <si>
    <t>Cumulative cash flow</t>
  </si>
  <si>
    <t>Preliminary project business case</t>
  </si>
  <si>
    <t>How to use this Excel model:</t>
  </si>
  <si>
    <t>Use the "Back of the envelope case" at the early stages to get a rough guestimate on the business case</t>
  </si>
  <si>
    <t>Use the "Project business case" as you start exploring your business case parameters in more detail to get a better initial view of P&amp;L and investment need</t>
  </si>
  <si>
    <t>Formatting:</t>
  </si>
  <si>
    <t>Light yellow cells are input fields</t>
  </si>
  <si>
    <t>All other cells are calculated</t>
  </si>
  <si>
    <t>Average monthly salary</t>
  </si>
  <si>
    <t>Cost of goods sold</t>
  </si>
  <si>
    <t>Yearly revenue per customer</t>
  </si>
  <si>
    <t>Total return</t>
  </si>
  <si>
    <t>Est. return on investment (ROI)</t>
  </si>
  <si>
    <t>Est. internal rate of return (IRR)</t>
  </si>
  <si>
    <t>Note: To calculate fractional year find last year where cumulative cash flow is zero (row 50). Then divide that number by the cash flow (row 48) of the following year. In this example these cells are G50 and H48.</t>
  </si>
  <si>
    <t>Insert a brief description of the project</t>
  </si>
  <si>
    <t>Project description</t>
  </si>
  <si>
    <t>Project details</t>
  </si>
  <si>
    <t>Project name:</t>
  </si>
  <si>
    <t>Project category:</t>
  </si>
  <si>
    <t>Business unit/team:</t>
  </si>
  <si>
    <t>Model version:</t>
  </si>
  <si>
    <t>Date:</t>
  </si>
  <si>
    <t>Model prepared by:</t>
  </si>
  <si>
    <t>Project sponsor:</t>
  </si>
  <si>
    <t>Project leader:</t>
  </si>
  <si>
    <t>[Insert name of project]</t>
  </si>
  <si>
    <t>[Insert category, if relevant]</t>
  </si>
  <si>
    <t>[Insert business unit/team, if relevant]</t>
  </si>
  <si>
    <t>[Insert date]</t>
  </si>
  <si>
    <t>[Insert name and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</si>
</sst>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44" formatCode="_(&quot;$&quot;* #,##0.00_);_(&quot;$&quot;* \(#,##0.00\);_(&quot;$&quot;* &quot;-&quot;??_);_(@_)"/>
    <numFmt numFmtId="164" formatCode="_-* #,##0.00\ &quot;kr.&quot;_-;\-* #,##0.00\ &quot;kr.&quot;_-;_-* &quot;-&quot;??\ &quot;kr.&quot;_-;_-@_-"/>
    <numFmt numFmtId="165" formatCode="_-* #,##0\ &quot;kr.&quot;_-;\-* #,##0\ &quot;kr.&quot;_-;_-* &quot;-&quot;??\ &quot;kr.&quot;_-;_-@_-"/>
    <numFmt numFmtId="166" formatCode="0.0%"/>
    <numFmt numFmtId="167" formatCode="_-[$$-409]* #,##0.00_ ;_-[$$-409]* \-#,##0.00\ ;_-[$$-409]* &quot;-&quot;??_ ;_-@_ "/>
    <numFmt numFmtId="168" formatCode="_([$$-409]* #,##0.00_);_([$$-409]* \(#,##0.00\);_([$$-409]* &quot;-&quot;??_);_(@_)"/>
    <numFmt numFmtId="169" formatCode="0.0"/>
  </numFmts>
  <fonts count="25" x14ac:knownFonts="1">
    <font>
      <sz val="12"/>
      <color theme="1"/>
      <name val="Arial"/>
      <family val="2"/>
      <scheme val="minor"/>
    </font>
    <font>
      <sz val="12"/>
      <color theme="1"/>
      <name val="Arial"/>
      <family val="2"/>
      <scheme val="minor"/>
    </font>
    <font>
      <sz val="12"/>
      <color theme="1"/>
      <name val="Arial"/>
      <family val="2"/>
      <scheme val="minor"/>
    </font>
    <font>
      <sz val="11"/>
      <color theme="1"/>
      <name val="Arial"/>
      <family val="2"/>
      <scheme val="minor"/>
    </font>
    <font>
      <sz val="12"/>
      <color theme="0" tint="-0.34998626667073579"/>
      <name val="Arial"/>
      <family val="2"/>
    </font>
    <font>
      <b/>
      <sz val="20"/>
      <color rgb="FF333333"/>
      <name val="Arial"/>
      <family val="2"/>
    </font>
    <font>
      <sz val="12"/>
      <color theme="1"/>
      <name val="Arial"/>
      <family val="2"/>
    </font>
    <font>
      <sz val="12"/>
      <color rgb="FF333333"/>
      <name val="Arial"/>
      <family val="2"/>
    </font>
    <font>
      <sz val="12"/>
      <color rgb="FF7030A0"/>
      <name val="Arial"/>
      <family val="2"/>
    </font>
    <font>
      <sz val="12"/>
      <color theme="0" tint="-0.499984740745262"/>
      <name val="Arial"/>
      <family val="2"/>
    </font>
    <font>
      <b/>
      <sz val="12"/>
      <color theme="0" tint="-0.34998626667073579"/>
      <name val="Arial"/>
      <family val="2"/>
    </font>
    <font>
      <b/>
      <sz val="12"/>
      <color rgb="FF333333"/>
      <name val="Arial"/>
      <family val="2"/>
    </font>
    <font>
      <b/>
      <sz val="12"/>
      <color theme="1"/>
      <name val="Arial"/>
      <family val="2"/>
    </font>
    <font>
      <sz val="12"/>
      <color rgb="FFB2B2B2"/>
      <name val="Arial"/>
      <family val="2"/>
    </font>
    <font>
      <b/>
      <sz val="12"/>
      <color theme="0"/>
      <name val="Arial"/>
      <family val="2"/>
    </font>
    <font>
      <b/>
      <sz val="12"/>
      <color theme="0"/>
      <name val="Arial"/>
      <family val="2"/>
      <scheme val="minor"/>
    </font>
    <font>
      <sz val="12"/>
      <color theme="0"/>
      <name val="Arial"/>
      <family val="2"/>
      <scheme val="minor"/>
    </font>
    <font>
      <b/>
      <sz val="14"/>
      <color theme="1"/>
      <name val="Arial"/>
      <family val="2"/>
    </font>
    <font>
      <sz val="12"/>
      <color theme="0"/>
      <name val="Arial"/>
      <family val="2"/>
    </font>
    <font>
      <b/>
      <sz val="20"/>
      <color theme="0"/>
      <name val="Arial"/>
      <family val="2"/>
    </font>
    <font>
      <sz val="12"/>
      <color theme="1" tint="-0.34998626667073579"/>
      <name val="Arial"/>
      <family val="2"/>
    </font>
    <font>
      <b/>
      <sz val="12"/>
      <color theme="1"/>
      <name val="Arial"/>
      <family val="2"/>
      <scheme val="minor"/>
    </font>
    <font>
      <sz val="9"/>
      <color indexed="12"/>
      <name val="Arial"/>
      <family val="2"/>
    </font>
    <font>
      <sz val="10"/>
      <name val="Arial"/>
      <family val="2"/>
    </font>
    <font>
      <sz val="12"/>
      <color theme="4"/>
      <name val="Arial (Body)"/>
    </font>
  </fonts>
  <fills count="8">
    <fill>
      <patternFill patternType="none"/>
    </fill>
    <fill>
      <patternFill patternType="gray125"/>
    </fill>
    <fill>
      <patternFill patternType="solid">
        <fgColor theme="5"/>
        <bgColor indexed="64"/>
      </patternFill>
    </fill>
    <fill>
      <patternFill patternType="solid">
        <fgColor theme="1"/>
        <bgColor indexed="64"/>
      </patternFill>
    </fill>
    <fill>
      <patternFill patternType="solid">
        <fgColor theme="9" tint="0.79998168889431442"/>
        <bgColor indexed="64"/>
      </patternFill>
    </fill>
    <fill>
      <patternFill patternType="solid">
        <fgColor theme="0"/>
        <bgColor indexed="64"/>
      </patternFill>
    </fill>
    <fill>
      <patternFill patternType="solid">
        <fgColor theme="4"/>
        <bgColor indexed="64"/>
      </patternFill>
    </fill>
    <fill>
      <patternFill patternType="solid">
        <fgColor theme="1" tint="-4.9989318521683403E-2"/>
        <bgColor indexed="64"/>
      </patternFill>
    </fill>
  </fills>
  <borders count="14">
    <border>
      <left/>
      <right/>
      <top/>
      <bottom/>
      <diagonal/>
    </border>
    <border>
      <left/>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3"/>
      </left>
      <right/>
      <top style="thin">
        <color theme="3"/>
      </top>
      <bottom style="thin">
        <color theme="3"/>
      </bottom>
      <diagonal/>
    </border>
    <border>
      <left/>
      <right style="thin">
        <color theme="3"/>
      </right>
      <top style="thin">
        <color theme="3"/>
      </top>
      <bottom style="thin">
        <color theme="3"/>
      </bottom>
      <diagonal/>
    </border>
    <border>
      <left style="thin">
        <color indexed="64"/>
      </left>
      <right style="thin">
        <color indexed="64"/>
      </right>
      <top style="thin">
        <color indexed="64"/>
      </top>
      <bottom style="thin">
        <color indexed="64"/>
      </bottom>
      <diagonal/>
    </border>
  </borders>
  <cellStyleXfs count="7">
    <xf numFmtId="0" fontId="0" fillId="0" borderId="0"/>
    <xf numFmtId="9" fontId="2" fillId="0" borderId="0" applyFont="0" applyFill="0" applyBorder="0" applyAlignment="0" applyProtection="0"/>
    <xf numFmtId="164" fontId="1" fillId="0" borderId="0" applyFont="0" applyFill="0" applyBorder="0" applyAlignment="0" applyProtection="0"/>
    <xf numFmtId="0" fontId="3" fillId="0" borderId="0"/>
    <xf numFmtId="9" fontId="3" fillId="0" borderId="0" applyFont="0" applyFill="0" applyBorder="0" applyAlignment="0" applyProtection="0"/>
    <xf numFmtId="6" fontId="22" fillId="0" borderId="0" applyNumberFormat="0" applyFill="0" applyBorder="0" applyAlignment="0" applyProtection="0">
      <alignment horizontal="right"/>
    </xf>
    <xf numFmtId="0" fontId="23" fillId="0" borderId="0"/>
  </cellStyleXfs>
  <cellXfs count="110">
    <xf numFmtId="0" fontId="0" fillId="0" borderId="0" xfId="0"/>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1" fontId="9" fillId="0" borderId="0" xfId="0" applyNumberFormat="1" applyFont="1" applyAlignment="1">
      <alignment wrapText="1"/>
    </xf>
    <xf numFmtId="3" fontId="7" fillId="0" borderId="0" xfId="0" applyNumberFormat="1" applyFont="1" applyAlignment="1">
      <alignment horizontal="right"/>
    </xf>
    <xf numFmtId="3" fontId="7" fillId="0" borderId="0" xfId="0" applyNumberFormat="1" applyFont="1"/>
    <xf numFmtId="0" fontId="9" fillId="0" borderId="0" xfId="0" applyFont="1"/>
    <xf numFmtId="0" fontId="10" fillId="0" borderId="0" xfId="0" applyFont="1"/>
    <xf numFmtId="0" fontId="11" fillId="0" borderId="0" xfId="0" applyFont="1"/>
    <xf numFmtId="3" fontId="11" fillId="0" borderId="0" xfId="0" applyNumberFormat="1" applyFont="1"/>
    <xf numFmtId="0" fontId="12" fillId="0" borderId="0" xfId="0" applyFont="1"/>
    <xf numFmtId="9" fontId="6" fillId="0" borderId="0" xfId="1" applyFont="1"/>
    <xf numFmtId="9" fontId="4" fillId="0" borderId="0" xfId="0" applyNumberFormat="1" applyFont="1"/>
    <xf numFmtId="9" fontId="7" fillId="0" borderId="0" xfId="1" applyFont="1"/>
    <xf numFmtId="0" fontId="6" fillId="0" borderId="0" xfId="0" quotePrefix="1" applyFont="1"/>
    <xf numFmtId="9" fontId="6" fillId="0" borderId="0" xfId="0" applyNumberFormat="1" applyFont="1"/>
    <xf numFmtId="3" fontId="6" fillId="0" borderId="0" xfId="0" applyNumberFormat="1" applyFont="1"/>
    <xf numFmtId="0" fontId="4" fillId="0" borderId="0" xfId="0" applyFont="1" applyAlignment="1">
      <alignment wrapText="1"/>
    </xf>
    <xf numFmtId="0" fontId="7" fillId="0" borderId="0" xfId="0" applyFont="1" applyAlignment="1">
      <alignment wrapText="1"/>
    </xf>
    <xf numFmtId="167" fontId="7" fillId="0" borderId="0" xfId="1" applyNumberFormat="1" applyFont="1" applyFill="1"/>
    <xf numFmtId="0" fontId="11" fillId="0" borderId="1" xfId="0" applyFont="1" applyBorder="1"/>
    <xf numFmtId="165" fontId="11" fillId="0" borderId="0" xfId="2" applyNumberFormat="1" applyFont="1" applyFill="1" applyBorder="1"/>
    <xf numFmtId="165" fontId="6" fillId="0" borderId="0" xfId="2" applyNumberFormat="1" applyFont="1"/>
    <xf numFmtId="0" fontId="9" fillId="0" borderId="0" xfId="0" applyFont="1" applyAlignment="1">
      <alignment horizontal="left" indent="1"/>
    </xf>
    <xf numFmtId="10" fontId="7" fillId="0" borderId="0" xfId="0" applyNumberFormat="1" applyFont="1"/>
    <xf numFmtId="165" fontId="6" fillId="0" borderId="0" xfId="0" applyNumberFormat="1" applyFont="1"/>
    <xf numFmtId="3" fontId="12" fillId="0" borderId="0" xfId="0" applyNumberFormat="1" applyFont="1"/>
    <xf numFmtId="9" fontId="6" fillId="0" borderId="0" xfId="1" applyFont="1" applyBorder="1"/>
    <xf numFmtId="167" fontId="11" fillId="0" borderId="1" xfId="2" applyNumberFormat="1" applyFont="1" applyFill="1" applyBorder="1"/>
    <xf numFmtId="167" fontId="11" fillId="0" borderId="1" xfId="2" applyNumberFormat="1" applyFont="1" applyBorder="1"/>
    <xf numFmtId="167" fontId="6" fillId="0" borderId="0" xfId="0" applyNumberFormat="1" applyFont="1"/>
    <xf numFmtId="167" fontId="7" fillId="0" borderId="0" xfId="2" applyNumberFormat="1" applyFont="1" applyFill="1"/>
    <xf numFmtId="167" fontId="9" fillId="0" borderId="0" xfId="2" applyNumberFormat="1" applyFont="1" applyFill="1"/>
    <xf numFmtId="167" fontId="7" fillId="0" borderId="0" xfId="0" applyNumberFormat="1" applyFont="1"/>
    <xf numFmtId="167" fontId="7" fillId="0" borderId="0" xfId="2" applyNumberFormat="1" applyFont="1"/>
    <xf numFmtId="0" fontId="14" fillId="0" borderId="0" xfId="0" applyFont="1"/>
    <xf numFmtId="167" fontId="14" fillId="0" borderId="0" xfId="2" applyNumberFormat="1" applyFont="1" applyFill="1" applyBorder="1"/>
    <xf numFmtId="9" fontId="18" fillId="4" borderId="0" xfId="0" applyNumberFormat="1" applyFont="1" applyFill="1"/>
    <xf numFmtId="0" fontId="16" fillId="0" borderId="0" xfId="0" applyFont="1"/>
    <xf numFmtId="0" fontId="16" fillId="0" borderId="0" xfId="0" applyFont="1" applyAlignment="1">
      <alignment wrapText="1"/>
    </xf>
    <xf numFmtId="0" fontId="15" fillId="3" borderId="8" xfId="0" applyFont="1" applyFill="1" applyBorder="1" applyAlignment="1">
      <alignment vertical="center" wrapText="1"/>
    </xf>
    <xf numFmtId="0" fontId="16" fillId="3" borderId="9" xfId="0" applyFont="1" applyFill="1" applyBorder="1" applyAlignment="1">
      <alignment vertical="center" wrapText="1"/>
    </xf>
    <xf numFmtId="0" fontId="16" fillId="3" borderId="9" xfId="0" applyFont="1" applyFill="1" applyBorder="1" applyAlignment="1">
      <alignment wrapText="1"/>
    </xf>
    <xf numFmtId="0" fontId="16" fillId="3" borderId="10" xfId="0" applyFont="1" applyFill="1" applyBorder="1" applyAlignment="1">
      <alignment wrapText="1"/>
    </xf>
    <xf numFmtId="0" fontId="15" fillId="3" borderId="8" xfId="0" applyFont="1" applyFill="1" applyBorder="1" applyAlignment="1">
      <alignment wrapText="1"/>
    </xf>
    <xf numFmtId="0" fontId="16" fillId="4" borderId="9" xfId="0" applyFont="1" applyFill="1" applyBorder="1" applyAlignment="1">
      <alignment wrapText="1"/>
    </xf>
    <xf numFmtId="0" fontId="19" fillId="0" borderId="0" xfId="0" applyFont="1"/>
    <xf numFmtId="0" fontId="18" fillId="0" borderId="0" xfId="0" applyFont="1"/>
    <xf numFmtId="3" fontId="18" fillId="0" borderId="0" xfId="0" applyNumberFormat="1" applyFont="1" applyAlignment="1">
      <alignment horizontal="right"/>
    </xf>
    <xf numFmtId="0" fontId="18" fillId="0" borderId="0" xfId="0" applyFont="1" applyAlignment="1">
      <alignment wrapText="1"/>
    </xf>
    <xf numFmtId="3" fontId="14" fillId="0" borderId="0" xfId="0" applyNumberFormat="1" applyFont="1"/>
    <xf numFmtId="9" fontId="18" fillId="0" borderId="0" xfId="1" applyFont="1"/>
    <xf numFmtId="0" fontId="18" fillId="0" borderId="0" xfId="0" quotePrefix="1" applyFont="1"/>
    <xf numFmtId="3" fontId="18" fillId="0" borderId="0" xfId="0" applyNumberFormat="1" applyFont="1"/>
    <xf numFmtId="165" fontId="14" fillId="0" borderId="0" xfId="2" applyNumberFormat="1" applyFont="1" applyFill="1" applyBorder="1"/>
    <xf numFmtId="165" fontId="18" fillId="0" borderId="0" xfId="2" applyNumberFormat="1" applyFont="1"/>
    <xf numFmtId="0" fontId="12" fillId="5" borderId="0" xfId="0" applyFont="1" applyFill="1"/>
    <xf numFmtId="0" fontId="12" fillId="2" borderId="1" xfId="0" applyFont="1" applyFill="1" applyBorder="1"/>
    <xf numFmtId="0" fontId="12" fillId="6" borderId="1" xfId="0" applyFont="1" applyFill="1" applyBorder="1"/>
    <xf numFmtId="168" fontId="12" fillId="6" borderId="1" xfId="2" applyNumberFormat="1" applyFont="1" applyFill="1" applyBorder="1"/>
    <xf numFmtId="168" fontId="18" fillId="4" borderId="0" xfId="2" applyNumberFormat="1" applyFont="1" applyFill="1"/>
    <xf numFmtId="9" fontId="18" fillId="4" borderId="0" xfId="1" applyFont="1" applyFill="1"/>
    <xf numFmtId="3" fontId="18" fillId="4" borderId="0" xfId="0" applyNumberFormat="1" applyFont="1" applyFill="1" applyAlignment="1">
      <alignment horizontal="right"/>
    </xf>
    <xf numFmtId="0" fontId="17" fillId="5" borderId="0" xfId="0" applyFont="1" applyFill="1"/>
    <xf numFmtId="0" fontId="12" fillId="5" borderId="0" xfId="0" applyFont="1" applyFill="1" applyAlignment="1">
      <alignment horizontal="center"/>
    </xf>
    <xf numFmtId="44" fontId="14" fillId="0" borderId="1" xfId="2" applyNumberFormat="1" applyFont="1" applyFill="1" applyBorder="1"/>
    <xf numFmtId="44" fontId="12" fillId="6" borderId="1" xfId="2" applyNumberFormat="1" applyFont="1" applyFill="1" applyBorder="1"/>
    <xf numFmtId="44" fontId="12" fillId="2" borderId="1" xfId="2" applyNumberFormat="1" applyFont="1" applyFill="1" applyBorder="1"/>
    <xf numFmtId="3" fontId="13" fillId="4" borderId="0" xfId="0" applyNumberFormat="1" applyFont="1" applyFill="1"/>
    <xf numFmtId="0" fontId="20" fillId="0" borderId="0" xfId="0" applyFont="1" applyAlignment="1">
      <alignment horizontal="left" indent="1"/>
    </xf>
    <xf numFmtId="168" fontId="13" fillId="4" borderId="0" xfId="2" applyNumberFormat="1" applyFont="1" applyFill="1"/>
    <xf numFmtId="167" fontId="7" fillId="4" borderId="0" xfId="2" applyNumberFormat="1" applyFont="1" applyFill="1"/>
    <xf numFmtId="167" fontId="9" fillId="4" borderId="0" xfId="2" applyNumberFormat="1" applyFont="1" applyFill="1"/>
    <xf numFmtId="167" fontId="20" fillId="0" borderId="0" xfId="2" applyNumberFormat="1" applyFont="1" applyFill="1"/>
    <xf numFmtId="167" fontId="20" fillId="4" borderId="0" xfId="2" applyNumberFormat="1" applyFont="1" applyFill="1"/>
    <xf numFmtId="9" fontId="7" fillId="4" borderId="0" xfId="1" applyFont="1" applyFill="1"/>
    <xf numFmtId="167" fontId="7" fillId="4" borderId="0" xfId="1" applyNumberFormat="1" applyFont="1" applyFill="1"/>
    <xf numFmtId="166" fontId="7" fillId="4" borderId="0" xfId="1" applyNumberFormat="1" applyFont="1" applyFill="1"/>
    <xf numFmtId="3" fontId="7" fillId="4" borderId="0" xfId="0" applyNumberFormat="1" applyFont="1" applyFill="1" applyAlignment="1">
      <alignment horizontal="right"/>
    </xf>
    <xf numFmtId="9" fontId="7" fillId="0" borderId="0" xfId="1" applyFont="1" applyFill="1"/>
    <xf numFmtId="9" fontId="18" fillId="0" borderId="0" xfId="1" applyFont="1" applyFill="1"/>
    <xf numFmtId="0" fontId="14" fillId="7" borderId="2" xfId="0" applyFont="1" applyFill="1" applyBorder="1" applyAlignment="1">
      <alignment vertical="center"/>
    </xf>
    <xf numFmtId="0" fontId="14" fillId="7" borderId="4" xfId="0" applyFont="1" applyFill="1" applyBorder="1" applyAlignment="1">
      <alignment vertical="center"/>
    </xf>
    <xf numFmtId="0" fontId="14" fillId="7" borderId="6" xfId="0" applyFont="1" applyFill="1" applyBorder="1" applyAlignment="1">
      <alignment vertical="center"/>
    </xf>
    <xf numFmtId="167" fontId="18" fillId="7" borderId="3" xfId="2" applyNumberFormat="1" applyFont="1" applyFill="1" applyBorder="1" applyAlignment="1">
      <alignment horizontal="right" vertical="center"/>
    </xf>
    <xf numFmtId="167" fontId="18" fillId="7" borderId="5" xfId="2" applyNumberFormat="1" applyFont="1" applyFill="1" applyBorder="1" applyAlignment="1">
      <alignment horizontal="right" vertical="center"/>
    </xf>
    <xf numFmtId="44" fontId="18" fillId="7" borderId="5" xfId="0" applyNumberFormat="1" applyFont="1" applyFill="1" applyBorder="1" applyAlignment="1">
      <alignment horizontal="right" vertical="center"/>
    </xf>
    <xf numFmtId="9" fontId="18" fillId="7" borderId="5" xfId="0" applyNumberFormat="1" applyFont="1" applyFill="1" applyBorder="1" applyAlignment="1">
      <alignment horizontal="right" vertical="center"/>
    </xf>
    <xf numFmtId="9" fontId="18" fillId="7" borderId="7" xfId="1" applyFont="1" applyFill="1" applyBorder="1" applyAlignment="1">
      <alignment horizontal="right" vertical="center"/>
    </xf>
    <xf numFmtId="0" fontId="24" fillId="0" borderId="0" xfId="3" applyFont="1"/>
    <xf numFmtId="0" fontId="15" fillId="7" borderId="13" xfId="6" applyFont="1" applyFill="1" applyBorder="1" applyAlignment="1">
      <alignment vertical="center"/>
    </xf>
    <xf numFmtId="0" fontId="15" fillId="7" borderId="8" xfId="6" applyFont="1" applyFill="1" applyBorder="1" applyAlignment="1">
      <alignment vertical="center" wrapText="1"/>
    </xf>
    <xf numFmtId="0" fontId="15" fillId="7" borderId="13" xfId="6" applyFont="1" applyFill="1" applyBorder="1" applyAlignment="1">
      <alignment vertical="center" wrapText="1"/>
    </xf>
    <xf numFmtId="0" fontId="16" fillId="3" borderId="8" xfId="6" applyFont="1" applyFill="1" applyBorder="1" applyAlignment="1" applyProtection="1">
      <alignment vertical="center" wrapText="1"/>
      <protection locked="0"/>
    </xf>
    <xf numFmtId="0" fontId="16" fillId="3" borderId="13" xfId="6" applyFont="1" applyFill="1" applyBorder="1" applyAlignment="1" applyProtection="1">
      <alignment vertical="center"/>
      <protection locked="0"/>
    </xf>
    <xf numFmtId="169" fontId="16" fillId="3" borderId="13" xfId="6" applyNumberFormat="1" applyFont="1" applyFill="1" applyBorder="1" applyAlignment="1" applyProtection="1">
      <alignment horizontal="left" vertical="center"/>
      <protection locked="0"/>
    </xf>
    <xf numFmtId="15" fontId="16" fillId="3" borderId="13" xfId="6" applyNumberFormat="1" applyFont="1" applyFill="1" applyBorder="1" applyAlignment="1" applyProtection="1">
      <alignment horizontal="left" vertical="center"/>
      <protection locked="0"/>
    </xf>
    <xf numFmtId="0" fontId="16" fillId="3" borderId="13" xfId="6" applyFont="1" applyFill="1" applyBorder="1" applyAlignment="1" applyProtection="1">
      <alignment vertical="center" wrapText="1"/>
      <protection locked="0"/>
    </xf>
    <xf numFmtId="0" fontId="21" fillId="5" borderId="11" xfId="6" applyFont="1" applyFill="1" applyBorder="1" applyAlignment="1">
      <alignment horizontal="center" vertical="top"/>
    </xf>
    <xf numFmtId="0" fontId="21" fillId="5" borderId="12" xfId="6" applyFont="1" applyFill="1" applyBorder="1" applyAlignment="1">
      <alignment horizontal="center" vertical="top"/>
    </xf>
    <xf numFmtId="0" fontId="16" fillId="7" borderId="2" xfId="6" applyFont="1" applyFill="1" applyBorder="1" applyAlignment="1" applyProtection="1">
      <alignment horizontal="left" vertical="center" wrapText="1"/>
      <protection locked="0"/>
    </xf>
    <xf numFmtId="0" fontId="16" fillId="7" borderId="3" xfId="6" applyFont="1" applyFill="1" applyBorder="1" applyAlignment="1" applyProtection="1">
      <alignment horizontal="left" vertical="center" wrapText="1"/>
      <protection locked="0"/>
    </xf>
    <xf numFmtId="0" fontId="16" fillId="7" borderId="4" xfId="6" applyFont="1" applyFill="1" applyBorder="1" applyAlignment="1" applyProtection="1">
      <alignment horizontal="left" vertical="center" wrapText="1"/>
      <protection locked="0"/>
    </xf>
    <xf numFmtId="0" fontId="16" fillId="7" borderId="5" xfId="6" applyFont="1" applyFill="1" applyBorder="1" applyAlignment="1" applyProtection="1">
      <alignment horizontal="left" vertical="center" wrapText="1"/>
      <protection locked="0"/>
    </xf>
    <xf numFmtId="0" fontId="16" fillId="7" borderId="6" xfId="6" applyFont="1" applyFill="1" applyBorder="1" applyAlignment="1" applyProtection="1">
      <alignment horizontal="left" vertical="center" wrapText="1"/>
      <protection locked="0"/>
    </xf>
    <xf numFmtId="0" fontId="16" fillId="7" borderId="7" xfId="6" applyFont="1" applyFill="1" applyBorder="1" applyAlignment="1" applyProtection="1">
      <alignment horizontal="left" vertical="center" wrapText="1"/>
      <protection locked="0"/>
    </xf>
    <xf numFmtId="37" fontId="18" fillId="0" borderId="0" xfId="5" applyNumberFormat="1" applyFont="1" applyFill="1" applyAlignment="1">
      <alignment horizontal="left" vertical="center" wrapText="1"/>
    </xf>
  </cellXfs>
  <cellStyles count="7">
    <cellStyle name="Currency" xfId="2" builtinId="4"/>
    <cellStyle name="Input Font" xfId="5" xr:uid="{83BB43B1-93CD-5746-96E1-7F6464CC49C9}"/>
    <cellStyle name="Normal" xfId="0" builtinId="0"/>
    <cellStyle name="Normal 2" xfId="3" xr:uid="{63E9365B-FC3A-494F-B013-AF1424FADB4F}"/>
    <cellStyle name="Normal 2 2 2" xfId="6" xr:uid="{80F6EB80-1377-B14B-BB6F-2D3F7E66BC31}"/>
    <cellStyle name="Per cent 2" xfId="4" xr:uid="{B01ED35E-87DE-F246-A0D9-71198FE12689}"/>
    <cellStyle name="Percent" xfId="1" builtinId="5"/>
  </cellStyles>
  <dxfs count="0"/>
  <tableStyles count="0" defaultTableStyle="TableStyleMedium9" defaultPivotStyle="PivotStyleMedium7"/>
  <colors>
    <mruColors>
      <color rgb="FF08A6F6"/>
      <color rgb="FF061F32"/>
      <color rgb="FFB2B2B2"/>
      <color rgb="FF3BFC3D"/>
      <color rgb="FF333333"/>
      <color rgb="FF23DD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lideworks">
  <a:themeElements>
    <a:clrScheme name="Slideworks">
      <a:dk1>
        <a:srgbClr val="FFFFFF"/>
      </a:dk1>
      <a:lt1>
        <a:srgbClr val="061F32"/>
      </a:lt1>
      <a:dk2>
        <a:srgbClr val="000000"/>
      </a:dk2>
      <a:lt2>
        <a:srgbClr val="000000"/>
      </a:lt2>
      <a:accent1>
        <a:srgbClr val="22A3DF"/>
      </a:accent1>
      <a:accent2>
        <a:srgbClr val="3478AB"/>
      </a:accent2>
      <a:accent3>
        <a:srgbClr val="1D4769"/>
      </a:accent3>
      <a:accent4>
        <a:srgbClr val="061F32"/>
      </a:accent4>
      <a:accent5>
        <a:srgbClr val="2222F6"/>
      </a:accent5>
      <a:accent6>
        <a:srgbClr val="F8BC3B"/>
      </a:accent6>
      <a:hlink>
        <a:srgbClr val="3478AB"/>
      </a:hlink>
      <a:folHlink>
        <a:srgbClr val="8B78AB"/>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ubtle Solids">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solidFill>
        <a:ln w="6350" cap="sq">
          <a:noFill/>
          <a:miter lim="800000"/>
        </a:ln>
      </a:spPr>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lgn="ctr">
          <a:spcBef>
            <a:spcPts val="300"/>
          </a:spcBef>
          <a:spcAft>
            <a:spcPts val="300"/>
          </a:spcAft>
          <a:defRPr sz="1600" dirty="0" err="1">
            <a:solidFill>
              <a:schemeClr val="bg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6350" cap="sq">
          <a:solidFill>
            <a:srgbClr val="000000"/>
          </a:solidFill>
          <a:miter lim="800000"/>
          <a:tailEnd type="none"/>
        </a:ln>
      </a:spPr>
      <a:bodyPr/>
      <a:lstStyle/>
      <a:style>
        <a:lnRef idx="1">
          <a:schemeClr val="accent1"/>
        </a:lnRef>
        <a:fillRef idx="0">
          <a:schemeClr val="accent1"/>
        </a:fillRef>
        <a:effectRef idx="0">
          <a:schemeClr val="accent1"/>
        </a:effectRef>
        <a:fontRef idx="minor">
          <a:schemeClr val="tx1"/>
        </a:fontRef>
      </a:style>
    </a:lnDef>
    <a:txDef>
      <a:spPr>
        <a:ln w="6350">
          <a:noFill/>
          <a:miter lim="800000"/>
        </a:ln>
      </a:spPr>
      <a:bodyPr vert="horz" wrap="square" lIns="0" tIns="0" rIns="0" bIns="0" rtlCol="0">
        <a:noAutofit/>
      </a:bodyPr>
      <a:lstStyle>
        <a:defPPr algn="l">
          <a:spcBef>
            <a:spcPts val="300"/>
          </a:spcBef>
          <a:spcAft>
            <a:spcPts val="300"/>
          </a:spcAft>
          <a:buNone/>
          <a:defRPr sz="1600" dirty="0" smtClean="0"/>
        </a:defPPr>
      </a:lstStyle>
    </a:txDef>
  </a:objectDefaults>
  <a:extraClrSchemeLst>
    <a:extraClrScheme>
      <a:clrScheme name="Scheme White">
        <a:dk1>
          <a:srgbClr val="000000"/>
        </a:dk1>
        <a:lt1>
          <a:srgbClr val="FFFFFF"/>
        </a:lt1>
        <a:dk2>
          <a:srgbClr val="FFFFFF"/>
        </a:dk2>
        <a:lt2>
          <a:srgbClr val="FFFFFF"/>
        </a:lt2>
        <a:accent1>
          <a:srgbClr val="051C2C"/>
        </a:accent1>
        <a:accent2>
          <a:srgbClr val="00A9F4"/>
        </a:accent2>
        <a:accent3>
          <a:srgbClr val="1F40E6"/>
        </a:accent3>
        <a:accent4>
          <a:srgbClr val="AAE6F0"/>
        </a:accent4>
        <a:accent5>
          <a:srgbClr val="3C96B4"/>
        </a:accent5>
        <a:accent6>
          <a:srgbClr val="AFC3FF"/>
        </a:accent6>
        <a:hlink>
          <a:srgbClr val="1F40E6"/>
        </a:hlink>
        <a:folHlink>
          <a:srgbClr val="8C5AC8"/>
        </a:folHlink>
      </a:clrScheme>
    </a:extraClrScheme>
  </a:extraClrSchemeLst>
  <a:custClrLst>
    <a:custClr name="Deep Blue">
      <a:srgbClr val="051C2C"/>
    </a:custClr>
    <a:custClr name="Cyan">
      <a:srgbClr val="00A9F4"/>
    </a:custClr>
    <a:custClr name="Electric Blue">
      <a:srgbClr val="1F40E6"/>
    </a:custClr>
    <a:custClr name="Pale Blue">
      <a:srgbClr val="AAE6F0"/>
    </a:custClr>
    <a:custClr name="Turquoise">
      <a:srgbClr val="3C96B4"/>
    </a:custClr>
    <a:custClr name="Pale Electric Blue">
      <a:srgbClr val="AFC3FF"/>
    </a:custClr>
    <a:custClr name="Purple">
      <a:srgbClr val="8C5AC8"/>
    </a:custClr>
    <a:custClr name="Pink">
      <a:srgbClr val="E6A0C8"/>
    </a:custClr>
    <a:custClr name="Red">
      <a:srgbClr val="E5546C"/>
    </a:custClr>
    <a:custClr name="Orange">
      <a:srgbClr val="FAA082"/>
    </a:custClr>
    <a:custClr name="Dark Gray">
      <a:srgbClr val="4D4D4D"/>
    </a:custClr>
    <a:custClr name="Mid Gray">
      <a:srgbClr val="7F7F7F"/>
    </a:custClr>
    <a:custClr name="Light Gray">
      <a:srgbClr val="B3B3B3"/>
    </a:custClr>
    <a:custClr name="Super Light Gray">
      <a:srgbClr val="D0D0D0"/>
    </a:custClr>
    <a:custClr name="Pale Gray">
      <a:srgbClr val="E6E6E6"/>
    </a:custClr>
    <a:custClr name="Null">
      <a:srgbClr val="FFFFFF"/>
    </a:custClr>
    <a:custClr name="Null">
      <a:srgbClr val="FFFFFF"/>
    </a:custClr>
    <a:custClr name="Null">
      <a:srgbClr val="FFFFFF"/>
    </a:custClr>
    <a:custClr name="Null">
      <a:srgbClr val="FFFFFF"/>
    </a:custClr>
    <a:custClr name="Null">
      <a:srgbClr val="FFFFFF"/>
    </a:custClr>
    <a:custClr name="Linear 1 (Deep Blue)">
      <a:srgbClr val="051C2C"/>
    </a:custClr>
    <a:custClr name="Linear 2">
      <a:srgbClr val="034B6F"/>
    </a:custClr>
    <a:custClr name="Linear 3">
      <a:srgbClr val="027AB1"/>
    </a:custClr>
    <a:custClr name="Linear 4 (Cyan)">
      <a:srgbClr val="00A9F4"/>
    </a:custClr>
    <a:custClr name="Linear 5">
      <a:srgbClr val="39BDF3"/>
    </a:custClr>
    <a:custClr name="Linear 6">
      <a:srgbClr val="71D2F1"/>
    </a:custClr>
    <a:custClr name="Linear 7 (Pale Blue)">
      <a:srgbClr val="AAE6F0"/>
    </a:custClr>
    <a:custClr name="Null">
      <a:srgbClr val="FFFFFF"/>
    </a:custClr>
    <a:custClr name="Null">
      <a:srgbClr val="FFFFFF"/>
    </a:custClr>
    <a:custClr name="Null">
      <a:srgbClr val="FFFFFF"/>
    </a:custClr>
  </a:custClrLst>
  <a:extLst>
    <a:ext uri="{05A4C25C-085E-4340-85A3-A5531E510DB2}">
      <thm15:themeFamily xmlns:thm15="http://schemas.microsoft.com/office/thememl/2012/main" name="Slideworks" id="{E069DF23-800B-2147-8703-57BAD797A89F}" vid="{C4B098EE-F2FB-4F45-9BF5-C6412EFF7DD9}"/>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68951-6D0A-AF48-9F3E-AD91BBC6C283}">
  <sheetPr>
    <tabColor theme="9" tint="0.79998168889431442"/>
  </sheetPr>
  <dimension ref="B2:B11"/>
  <sheetViews>
    <sheetView showGridLines="0" workbookViewId="0">
      <selection activeCell="C24" sqref="C24"/>
    </sheetView>
  </sheetViews>
  <sheetFormatPr baseColWidth="10" defaultRowHeight="16" x14ac:dyDescent="0.2"/>
  <cols>
    <col min="1" max="1" width="3" style="41" customWidth="1"/>
    <col min="2" max="2" width="84.5703125" style="42" customWidth="1"/>
    <col min="3" max="7" width="84.5703125" style="41" customWidth="1"/>
    <col min="8" max="16384" width="10.7109375" style="41"/>
  </cols>
  <sheetData>
    <row r="2" spans="2:2" ht="22" customHeight="1" x14ac:dyDescent="0.2">
      <c r="B2" s="43" t="s">
        <v>49</v>
      </c>
    </row>
    <row r="3" spans="2:2" ht="17" x14ac:dyDescent="0.2">
      <c r="B3" s="44" t="s">
        <v>50</v>
      </c>
    </row>
    <row r="4" spans="2:2" x14ac:dyDescent="0.2">
      <c r="B4" s="45"/>
    </row>
    <row r="5" spans="2:2" ht="34" x14ac:dyDescent="0.2">
      <c r="B5" s="46" t="s">
        <v>51</v>
      </c>
    </row>
    <row r="8" spans="2:2" ht="17" x14ac:dyDescent="0.2">
      <c r="B8" s="47" t="s">
        <v>52</v>
      </c>
    </row>
    <row r="9" spans="2:2" x14ac:dyDescent="0.2">
      <c r="B9" s="45"/>
    </row>
    <row r="10" spans="2:2" ht="17" x14ac:dyDescent="0.2">
      <c r="B10" s="48" t="s">
        <v>53</v>
      </c>
    </row>
    <row r="11" spans="2:2" ht="17" x14ac:dyDescent="0.2">
      <c r="B11" s="46"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38D92-34E1-6847-95FA-355E9DE52157}">
  <dimension ref="B2:C24"/>
  <sheetViews>
    <sheetView showGridLines="0" workbookViewId="0">
      <selection activeCell="B24" sqref="B24"/>
    </sheetView>
  </sheetViews>
  <sheetFormatPr baseColWidth="10" defaultRowHeight="16" x14ac:dyDescent="0.2"/>
  <cols>
    <col min="1" max="1" width="4" customWidth="1"/>
    <col min="2" max="3" width="40.7109375" customWidth="1"/>
  </cols>
  <sheetData>
    <row r="2" spans="2:3" x14ac:dyDescent="0.2">
      <c r="B2" s="101" t="s">
        <v>63</v>
      </c>
      <c r="C2" s="102"/>
    </row>
    <row r="3" spans="2:3" x14ac:dyDescent="0.2">
      <c r="B3" s="92"/>
      <c r="C3" s="92"/>
    </row>
    <row r="4" spans="2:3" x14ac:dyDescent="0.2">
      <c r="B4" s="103" t="s">
        <v>62</v>
      </c>
      <c r="C4" s="104"/>
    </row>
    <row r="5" spans="2:3" x14ac:dyDescent="0.2">
      <c r="B5" s="105"/>
      <c r="C5" s="106"/>
    </row>
    <row r="6" spans="2:3" x14ac:dyDescent="0.2">
      <c r="B6" s="105"/>
      <c r="C6" s="106"/>
    </row>
    <row r="7" spans="2:3" x14ac:dyDescent="0.2">
      <c r="B7" s="105"/>
      <c r="C7" s="106"/>
    </row>
    <row r="8" spans="2:3" x14ac:dyDescent="0.2">
      <c r="B8" s="105"/>
      <c r="C8" s="106"/>
    </row>
    <row r="9" spans="2:3" x14ac:dyDescent="0.2">
      <c r="B9" s="105"/>
      <c r="C9" s="106"/>
    </row>
    <row r="10" spans="2:3" x14ac:dyDescent="0.2">
      <c r="B10" s="105"/>
      <c r="C10" s="106"/>
    </row>
    <row r="11" spans="2:3" x14ac:dyDescent="0.2">
      <c r="B11" s="105"/>
      <c r="C11" s="106"/>
    </row>
    <row r="12" spans="2:3" x14ac:dyDescent="0.2">
      <c r="B12" s="105"/>
      <c r="C12" s="106"/>
    </row>
    <row r="13" spans="2:3" x14ac:dyDescent="0.2">
      <c r="B13" s="107"/>
      <c r="C13" s="108"/>
    </row>
    <row r="14" spans="2:3" x14ac:dyDescent="0.2">
      <c r="B14" s="92"/>
      <c r="C14" s="92"/>
    </row>
    <row r="15" spans="2:3" x14ac:dyDescent="0.2">
      <c r="B15" s="101" t="s">
        <v>64</v>
      </c>
      <c r="C15" s="102"/>
    </row>
    <row r="16" spans="2:3" x14ac:dyDescent="0.2">
      <c r="B16" s="92"/>
      <c r="C16" s="92"/>
    </row>
    <row r="17" spans="2:3" ht="30" customHeight="1" x14ac:dyDescent="0.2">
      <c r="B17" s="93" t="s">
        <v>65</v>
      </c>
      <c r="C17" s="96" t="s">
        <v>73</v>
      </c>
    </row>
    <row r="18" spans="2:3" ht="30" customHeight="1" x14ac:dyDescent="0.2">
      <c r="B18" s="93" t="s">
        <v>66</v>
      </c>
      <c r="C18" s="96" t="s">
        <v>74</v>
      </c>
    </row>
    <row r="19" spans="2:3" ht="30" customHeight="1" x14ac:dyDescent="0.2">
      <c r="B19" s="93" t="s">
        <v>67</v>
      </c>
      <c r="C19" s="97" t="s">
        <v>75</v>
      </c>
    </row>
    <row r="20" spans="2:3" ht="30" customHeight="1" x14ac:dyDescent="0.2">
      <c r="B20" s="93" t="s">
        <v>68</v>
      </c>
      <c r="C20" s="98">
        <v>1</v>
      </c>
    </row>
    <row r="21" spans="2:3" ht="30" customHeight="1" x14ac:dyDescent="0.2">
      <c r="B21" s="93" t="s">
        <v>69</v>
      </c>
      <c r="C21" s="99" t="s">
        <v>76</v>
      </c>
    </row>
    <row r="22" spans="2:3" ht="30" customHeight="1" x14ac:dyDescent="0.2">
      <c r="B22" s="94" t="s">
        <v>70</v>
      </c>
      <c r="C22" s="100" t="s">
        <v>77</v>
      </c>
    </row>
    <row r="23" spans="2:3" ht="30" customHeight="1" x14ac:dyDescent="0.2">
      <c r="B23" s="94" t="s">
        <v>72</v>
      </c>
      <c r="C23" s="100" t="s">
        <v>77</v>
      </c>
    </row>
    <row r="24" spans="2:3" ht="30" customHeight="1" x14ac:dyDescent="0.2">
      <c r="B24" s="95" t="s">
        <v>71</v>
      </c>
      <c r="C24" s="100" t="s">
        <v>77</v>
      </c>
    </row>
  </sheetData>
  <mergeCells count="3">
    <mergeCell ref="B2:C2"/>
    <mergeCell ref="B4:C13"/>
    <mergeCell ref="B15:C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FD7EC-96C5-8A49-AE03-0EC9D795127D}">
  <dimension ref="B2:E26"/>
  <sheetViews>
    <sheetView zoomScale="112" workbookViewId="0">
      <selection activeCell="C24" sqref="C24"/>
    </sheetView>
  </sheetViews>
  <sheetFormatPr baseColWidth="10" defaultRowHeight="16" x14ac:dyDescent="0.2"/>
  <cols>
    <col min="1" max="1" width="2.42578125" style="50" customWidth="1"/>
    <col min="2" max="2" width="62.42578125" style="50" customWidth="1"/>
    <col min="3" max="3" width="45.85546875" style="50" customWidth="1"/>
    <col min="4" max="4" width="46.5703125" style="50" customWidth="1"/>
    <col min="5" max="6" width="10.7109375" style="50"/>
    <col min="7" max="9" width="9.28515625" style="50"/>
    <col min="10" max="11" width="9.28515625" style="50" customWidth="1"/>
    <col min="12" max="16384" width="10.7109375" style="50"/>
  </cols>
  <sheetData>
    <row r="2" spans="2:4" ht="25" x14ac:dyDescent="0.25">
      <c r="B2" s="49" t="s">
        <v>46</v>
      </c>
    </row>
    <row r="4" spans="2:4" s="59" customFormat="1" x14ac:dyDescent="0.2">
      <c r="B4" s="59" t="s">
        <v>11</v>
      </c>
    </row>
    <row r="5" spans="2:4" x14ac:dyDescent="0.2">
      <c r="C5" s="51"/>
    </row>
    <row r="6" spans="2:4" x14ac:dyDescent="0.2">
      <c r="C6" s="51"/>
      <c r="D6" s="38" t="s">
        <v>5</v>
      </c>
    </row>
    <row r="7" spans="2:4" ht="34" x14ac:dyDescent="0.2">
      <c r="B7" s="52" t="s">
        <v>41</v>
      </c>
      <c r="C7" s="65">
        <v>5000000</v>
      </c>
      <c r="D7" s="52" t="s">
        <v>9</v>
      </c>
    </row>
    <row r="9" spans="2:4" s="38" customFormat="1" x14ac:dyDescent="0.2">
      <c r="B9" s="38" t="s">
        <v>3</v>
      </c>
      <c r="C9" s="53">
        <f>SUM(C7:C7)</f>
        <v>5000000</v>
      </c>
    </row>
    <row r="10" spans="2:4" x14ac:dyDescent="0.2">
      <c r="C10" s="54"/>
    </row>
    <row r="11" spans="2:4" ht="34" x14ac:dyDescent="0.2">
      <c r="B11" s="52" t="s">
        <v>42</v>
      </c>
      <c r="C11" s="64">
        <v>0.2</v>
      </c>
      <c r="D11" s="52" t="s">
        <v>10</v>
      </c>
    </row>
    <row r="12" spans="2:4" x14ac:dyDescent="0.2">
      <c r="C12" s="54"/>
    </row>
    <row r="13" spans="2:4" x14ac:dyDescent="0.2">
      <c r="B13" s="38" t="s">
        <v>2</v>
      </c>
      <c r="C13" s="53">
        <f>C11*C9</f>
        <v>1000000</v>
      </c>
    </row>
    <row r="14" spans="2:4" x14ac:dyDescent="0.2">
      <c r="B14" s="55" t="s">
        <v>1</v>
      </c>
    </row>
    <row r="15" spans="2:4" s="59" customFormat="1" x14ac:dyDescent="0.2">
      <c r="B15" s="59" t="s">
        <v>0</v>
      </c>
    </row>
    <row r="17" spans="2:5" ht="68" x14ac:dyDescent="0.2">
      <c r="B17" s="50" t="s">
        <v>43</v>
      </c>
      <c r="C17" s="64">
        <v>0.1</v>
      </c>
      <c r="D17" s="52" t="s">
        <v>40</v>
      </c>
    </row>
    <row r="18" spans="2:5" x14ac:dyDescent="0.2">
      <c r="C18" s="56"/>
      <c r="D18" s="56"/>
    </row>
    <row r="19" spans="2:5" x14ac:dyDescent="0.2">
      <c r="B19" s="38" t="s">
        <v>6</v>
      </c>
      <c r="C19" s="53">
        <f>C17*C13</f>
        <v>100000</v>
      </c>
    </row>
    <row r="20" spans="2:5" x14ac:dyDescent="0.2">
      <c r="C20" s="56"/>
    </row>
    <row r="21" spans="2:5" ht="17" x14ac:dyDescent="0.2">
      <c r="B21" s="50" t="s">
        <v>7</v>
      </c>
      <c r="C21" s="63">
        <v>100</v>
      </c>
      <c r="D21" s="52" t="s">
        <v>39</v>
      </c>
    </row>
    <row r="22" spans="2:5" x14ac:dyDescent="0.2">
      <c r="C22" s="56"/>
    </row>
    <row r="23" spans="2:5" x14ac:dyDescent="0.2">
      <c r="B23" s="61" t="s">
        <v>8</v>
      </c>
      <c r="C23" s="62">
        <f>C21*C19</f>
        <v>10000000</v>
      </c>
    </row>
    <row r="24" spans="2:5" x14ac:dyDescent="0.2">
      <c r="B24" s="38"/>
      <c r="C24" s="57"/>
    </row>
    <row r="25" spans="2:5" x14ac:dyDescent="0.2">
      <c r="C25" s="58"/>
    </row>
    <row r="26" spans="2:5" x14ac:dyDescent="0.2">
      <c r="D26" s="53"/>
      <c r="E26" s="53"/>
    </row>
  </sheetData>
  <pageMargins left="0.7" right="0.7" top="0.75" bottom="0.75" header="0.3" footer="0.3"/>
  <pageSetup paperSize="8" orientation="landscape" horizontalDpi="0" verticalDpi="0" copies="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900F-41E7-B547-9FED-E67AC1ED9DC8}">
  <dimension ref="B2:K61"/>
  <sheetViews>
    <sheetView tabSelected="1" zoomScale="56" workbookViewId="0">
      <selection activeCell="M58" sqref="M58"/>
    </sheetView>
  </sheetViews>
  <sheetFormatPr baseColWidth="10" defaultRowHeight="16" outlineLevelRow="1" x14ac:dyDescent="0.2"/>
  <cols>
    <col min="1" max="1" width="2.42578125" style="3" customWidth="1"/>
    <col min="2" max="2" width="7.5703125" style="1" customWidth="1"/>
    <col min="3" max="3" width="53" style="3" customWidth="1"/>
    <col min="4" max="8" width="30.7109375" style="3" customWidth="1"/>
    <col min="9" max="9" width="4.7109375" style="3" customWidth="1"/>
    <col min="10" max="10" width="5.5703125" style="3" customWidth="1"/>
    <col min="11" max="12" width="10.7109375" style="3"/>
    <col min="13" max="15" width="9.28515625" style="3"/>
    <col min="16" max="17" width="9.28515625" style="3" customWidth="1"/>
    <col min="18" max="16384" width="10.7109375" style="3"/>
  </cols>
  <sheetData>
    <row r="2" spans="2:11" ht="25" x14ac:dyDescent="0.25">
      <c r="C2" s="2" t="s">
        <v>48</v>
      </c>
    </row>
    <row r="3" spans="2:11" x14ac:dyDescent="0.2">
      <c r="C3" s="4"/>
      <c r="D3" s="5"/>
    </row>
    <row r="4" spans="2:11" s="66" customFormat="1" ht="18" x14ac:dyDescent="0.2">
      <c r="C4" s="66" t="s">
        <v>11</v>
      </c>
      <c r="D4" s="67" t="s">
        <v>12</v>
      </c>
      <c r="E4" s="67" t="s">
        <v>13</v>
      </c>
      <c r="F4" s="67" t="s">
        <v>16</v>
      </c>
      <c r="G4" s="67" t="s">
        <v>15</v>
      </c>
      <c r="H4" s="67" t="s">
        <v>14</v>
      </c>
      <c r="I4" s="67"/>
    </row>
    <row r="5" spans="2:11" x14ac:dyDescent="0.2">
      <c r="B5" s="6"/>
      <c r="C5" s="4"/>
      <c r="D5" s="7"/>
      <c r="E5" s="8"/>
      <c r="F5" s="8"/>
      <c r="G5" s="8"/>
      <c r="H5" s="8"/>
    </row>
    <row r="6" spans="2:11" x14ac:dyDescent="0.2">
      <c r="B6" s="6"/>
      <c r="C6" s="4" t="s">
        <v>32</v>
      </c>
      <c r="D6" s="81">
        <v>1000000</v>
      </c>
      <c r="E6" s="8">
        <f>D6</f>
        <v>1000000</v>
      </c>
      <c r="F6" s="8">
        <f t="shared" ref="F6:H6" si="0">E6</f>
        <v>1000000</v>
      </c>
      <c r="G6" s="8">
        <f t="shared" si="0"/>
        <v>1000000</v>
      </c>
      <c r="H6" s="8">
        <f t="shared" si="0"/>
        <v>1000000</v>
      </c>
      <c r="K6" s="9"/>
    </row>
    <row r="7" spans="2:11" x14ac:dyDescent="0.2">
      <c r="B7" s="6"/>
      <c r="C7" s="4" t="s">
        <v>32</v>
      </c>
      <c r="D7" s="81">
        <v>1500000</v>
      </c>
      <c r="E7" s="8">
        <f t="shared" ref="E7:H7" si="1">D7</f>
        <v>1500000</v>
      </c>
      <c r="F7" s="8">
        <f t="shared" si="1"/>
        <v>1500000</v>
      </c>
      <c r="G7" s="8">
        <f t="shared" si="1"/>
        <v>1500000</v>
      </c>
      <c r="H7" s="8">
        <f t="shared" si="1"/>
        <v>1500000</v>
      </c>
    </row>
    <row r="8" spans="2:11" x14ac:dyDescent="0.2">
      <c r="B8" s="6"/>
      <c r="C8" s="4" t="s">
        <v>32</v>
      </c>
      <c r="D8" s="81">
        <v>750000</v>
      </c>
      <c r="E8" s="8">
        <f t="shared" ref="E8:H8" si="2">D8</f>
        <v>750000</v>
      </c>
      <c r="F8" s="8">
        <f t="shared" si="2"/>
        <v>750000</v>
      </c>
      <c r="G8" s="8">
        <f t="shared" si="2"/>
        <v>750000</v>
      </c>
      <c r="H8" s="8">
        <f t="shared" si="2"/>
        <v>750000</v>
      </c>
    </row>
    <row r="9" spans="2:11" x14ac:dyDescent="0.2">
      <c r="C9" s="4"/>
      <c r="D9" s="4"/>
      <c r="E9" s="4"/>
      <c r="F9" s="4"/>
      <c r="G9" s="4"/>
      <c r="H9" s="4"/>
    </row>
    <row r="10" spans="2:11" s="13" customFormat="1" x14ac:dyDescent="0.2">
      <c r="B10" s="10"/>
      <c r="C10" s="11" t="s">
        <v>3</v>
      </c>
      <c r="D10" s="12">
        <f>SUM(D6:D8)</f>
        <v>3250000</v>
      </c>
      <c r="E10" s="12">
        <f>SUM(E6:E8)</f>
        <v>3250000</v>
      </c>
      <c r="F10" s="12">
        <f>SUM(F6:F8)</f>
        <v>3250000</v>
      </c>
      <c r="G10" s="12">
        <f>SUM(G6:G8)</f>
        <v>3250000</v>
      </c>
      <c r="H10" s="12">
        <f>SUM(H6:H8)</f>
        <v>3250000</v>
      </c>
    </row>
    <row r="11" spans="2:11" x14ac:dyDescent="0.2">
      <c r="D11" s="14"/>
      <c r="E11" s="14"/>
      <c r="F11" s="14"/>
      <c r="G11" s="14"/>
      <c r="H11" s="14"/>
    </row>
    <row r="12" spans="2:11" x14ac:dyDescent="0.2">
      <c r="B12" s="15"/>
      <c r="C12" s="4" t="s">
        <v>33</v>
      </c>
      <c r="D12" s="78">
        <v>0.05</v>
      </c>
      <c r="E12" s="82">
        <f>D12</f>
        <v>0.05</v>
      </c>
      <c r="F12" s="82">
        <f t="shared" ref="F12:H12" si="3">E12</f>
        <v>0.05</v>
      </c>
      <c r="G12" s="82">
        <f t="shared" si="3"/>
        <v>0.05</v>
      </c>
      <c r="H12" s="82">
        <f t="shared" si="3"/>
        <v>0.05</v>
      </c>
    </row>
    <row r="13" spans="2:11" x14ac:dyDescent="0.2">
      <c r="B13" s="15"/>
      <c r="C13" s="4"/>
      <c r="D13" s="16"/>
      <c r="E13" s="16"/>
      <c r="F13" s="16"/>
      <c r="G13" s="16"/>
      <c r="H13" s="16"/>
    </row>
    <row r="14" spans="2:11" x14ac:dyDescent="0.2">
      <c r="C14" s="11" t="s">
        <v>2</v>
      </c>
      <c r="D14" s="12">
        <f>D12*D10</f>
        <v>162500</v>
      </c>
      <c r="E14" s="12">
        <f>E12*E10</f>
        <v>162500</v>
      </c>
      <c r="F14" s="12">
        <f>F12*F10</f>
        <v>162500</v>
      </c>
      <c r="G14" s="12">
        <f>G12*G10</f>
        <v>162500</v>
      </c>
      <c r="H14" s="12">
        <f>H12*H10</f>
        <v>162500</v>
      </c>
    </row>
    <row r="15" spans="2:11" x14ac:dyDescent="0.2">
      <c r="C15" s="17" t="s">
        <v>1</v>
      </c>
      <c r="F15" s="18"/>
    </row>
    <row r="16" spans="2:11" s="66" customFormat="1" ht="18" x14ac:dyDescent="0.2">
      <c r="C16" s="66" t="s">
        <v>0</v>
      </c>
      <c r="D16" s="67" t="s">
        <v>12</v>
      </c>
      <c r="E16" s="67" t="s">
        <v>13</v>
      </c>
      <c r="F16" s="67" t="s">
        <v>16</v>
      </c>
      <c r="G16" s="67" t="s">
        <v>15</v>
      </c>
      <c r="H16" s="67" t="s">
        <v>14</v>
      </c>
      <c r="I16" s="67"/>
    </row>
    <row r="17" spans="2:10" x14ac:dyDescent="0.2">
      <c r="C17" s="4"/>
      <c r="D17" s="4"/>
      <c r="E17" s="4"/>
      <c r="F17" s="4"/>
      <c r="G17" s="4"/>
      <c r="H17" s="4"/>
    </row>
    <row r="18" spans="2:10" x14ac:dyDescent="0.2">
      <c r="C18" s="11" t="s">
        <v>17</v>
      </c>
      <c r="D18" s="80">
        <v>1E-3</v>
      </c>
      <c r="E18" s="80">
        <v>0.01</v>
      </c>
      <c r="F18" s="80">
        <v>0.02</v>
      </c>
      <c r="G18" s="80">
        <v>0.04</v>
      </c>
      <c r="H18" s="80">
        <v>0.1</v>
      </c>
    </row>
    <row r="19" spans="2:10" x14ac:dyDescent="0.2">
      <c r="C19" s="4" t="s">
        <v>18</v>
      </c>
      <c r="D19" s="8">
        <f>D18*D14</f>
        <v>162.5</v>
      </c>
      <c r="E19" s="8">
        <f>E18*E14</f>
        <v>1625</v>
      </c>
      <c r="F19" s="8">
        <f>F18*F14</f>
        <v>3250</v>
      </c>
      <c r="G19" s="8">
        <f>G18*G14</f>
        <v>6500</v>
      </c>
      <c r="H19" s="8">
        <f>H18*H14</f>
        <v>16250</v>
      </c>
      <c r="J19" s="19"/>
    </row>
    <row r="20" spans="2:10" x14ac:dyDescent="0.2">
      <c r="B20" s="40">
        <v>0.1</v>
      </c>
      <c r="C20" s="4" t="str">
        <f>"Churn "&amp;B20*100&amp;"%"</f>
        <v>Churn 10%</v>
      </c>
      <c r="D20" s="8">
        <v>0</v>
      </c>
      <c r="E20" s="8">
        <f>+E19*(-$B20)</f>
        <v>-162.5</v>
      </c>
      <c r="F20" s="8">
        <f>+F19*(-$B20)</f>
        <v>-325</v>
      </c>
      <c r="G20" s="8">
        <f>+G19*(-$B20)</f>
        <v>-650</v>
      </c>
      <c r="H20" s="8">
        <f>+H19*(-$B20)</f>
        <v>-1625</v>
      </c>
    </row>
    <row r="21" spans="2:10" x14ac:dyDescent="0.2">
      <c r="C21" s="4" t="s">
        <v>19</v>
      </c>
      <c r="D21" s="8">
        <f>+D19/2</f>
        <v>81.25</v>
      </c>
      <c r="E21" s="8">
        <f>+(E19-D19)/2+D19</f>
        <v>893.75</v>
      </c>
      <c r="F21" s="8">
        <f>+(F19-E19)/2+E19</f>
        <v>2437.5</v>
      </c>
      <c r="G21" s="8">
        <f>+(G19-F19)/2+F19</f>
        <v>4875</v>
      </c>
      <c r="H21" s="8">
        <f>+(H19-G19)/2+G19</f>
        <v>11375</v>
      </c>
    </row>
    <row r="22" spans="2:10" x14ac:dyDescent="0.2">
      <c r="C22" s="4" t="s">
        <v>20</v>
      </c>
      <c r="D22" s="8">
        <f>+D19-D20</f>
        <v>162.5</v>
      </c>
      <c r="E22" s="8">
        <f>+E19-D19-E20</f>
        <v>1625</v>
      </c>
      <c r="F22" s="8">
        <f t="shared" ref="F22:H22" si="4">+F19-E19-F20</f>
        <v>1950</v>
      </c>
      <c r="G22" s="8">
        <f t="shared" si="4"/>
        <v>3900</v>
      </c>
      <c r="H22" s="8">
        <f t="shared" si="4"/>
        <v>11375</v>
      </c>
    </row>
    <row r="23" spans="2:10" x14ac:dyDescent="0.2">
      <c r="C23" s="4"/>
      <c r="D23" s="8"/>
      <c r="E23" s="8"/>
      <c r="F23" s="8"/>
      <c r="G23" s="8"/>
      <c r="H23" s="8"/>
    </row>
    <row r="24" spans="2:10" x14ac:dyDescent="0.2">
      <c r="B24" s="20"/>
      <c r="C24" s="13" t="s">
        <v>34</v>
      </c>
      <c r="D24" s="19"/>
      <c r="E24" s="19"/>
      <c r="F24" s="19"/>
      <c r="G24" s="19"/>
      <c r="H24" s="19"/>
    </row>
    <row r="25" spans="2:10" ht="40" customHeight="1" x14ac:dyDescent="0.2">
      <c r="B25" s="15"/>
      <c r="C25" s="21" t="s">
        <v>57</v>
      </c>
      <c r="D25" s="79">
        <v>1500</v>
      </c>
      <c r="E25" s="22">
        <f>D25</f>
        <v>1500</v>
      </c>
      <c r="F25" s="22">
        <f t="shared" ref="F25:H25" si="5">E25</f>
        <v>1500</v>
      </c>
      <c r="G25" s="22">
        <f t="shared" si="5"/>
        <v>1500</v>
      </c>
      <c r="H25" s="22">
        <f t="shared" si="5"/>
        <v>1500</v>
      </c>
    </row>
    <row r="27" spans="2:10" x14ac:dyDescent="0.2">
      <c r="C27" s="23" t="s">
        <v>21</v>
      </c>
      <c r="D27" s="31">
        <f>D25*D21</f>
        <v>121875</v>
      </c>
      <c r="E27" s="31">
        <f>E25*E21</f>
        <v>1340625</v>
      </c>
      <c r="F27" s="31">
        <f>F25*F21</f>
        <v>3656250</v>
      </c>
      <c r="G27" s="31">
        <f>G25*G21</f>
        <v>7312500</v>
      </c>
      <c r="H27" s="31">
        <f>H25*H21</f>
        <v>17062500</v>
      </c>
    </row>
    <row r="28" spans="2:10" x14ac:dyDescent="0.2">
      <c r="C28" s="11"/>
      <c r="D28" s="24"/>
      <c r="E28" s="24"/>
      <c r="F28" s="24"/>
      <c r="G28" s="24"/>
      <c r="H28" s="24"/>
    </row>
    <row r="29" spans="2:10" x14ac:dyDescent="0.2">
      <c r="C29" s="4" t="s">
        <v>56</v>
      </c>
      <c r="D29" s="78">
        <v>0.6</v>
      </c>
      <c r="E29" s="83">
        <f>D29</f>
        <v>0.6</v>
      </c>
      <c r="F29" s="83">
        <f t="shared" ref="F29:H29" si="6">E29</f>
        <v>0.6</v>
      </c>
      <c r="G29" s="83">
        <f t="shared" si="6"/>
        <v>0.6</v>
      </c>
      <c r="H29" s="83">
        <f t="shared" si="6"/>
        <v>0.6</v>
      </c>
    </row>
    <row r="30" spans="2:10" x14ac:dyDescent="0.2">
      <c r="C30" s="4"/>
      <c r="D30" s="16"/>
      <c r="E30" s="16"/>
      <c r="F30" s="16"/>
      <c r="G30" s="16"/>
      <c r="H30" s="16"/>
    </row>
    <row r="31" spans="2:10" x14ac:dyDescent="0.2">
      <c r="C31" s="23" t="s">
        <v>22</v>
      </c>
      <c r="D31" s="32">
        <f>+D27*(1-D29)</f>
        <v>48750</v>
      </c>
      <c r="E31" s="32">
        <f>+E27*(1-E29)</f>
        <v>536250</v>
      </c>
      <c r="F31" s="32">
        <f>+F27*(1-F29)</f>
        <v>1462500</v>
      </c>
      <c r="G31" s="32">
        <f t="shared" ref="G31" si="7">+G27*(1-G29)</f>
        <v>2925000</v>
      </c>
      <c r="H31" s="32">
        <f>+H27*(1-H29)</f>
        <v>6825000</v>
      </c>
      <c r="I31" s="25"/>
    </row>
    <row r="32" spans="2:10" x14ac:dyDescent="0.2">
      <c r="C32" s="5"/>
      <c r="D32" s="33"/>
      <c r="E32" s="33"/>
      <c r="F32" s="33"/>
      <c r="G32" s="33"/>
      <c r="H32" s="33"/>
    </row>
    <row r="33" spans="3:8" x14ac:dyDescent="0.2">
      <c r="C33" s="4" t="s">
        <v>23</v>
      </c>
      <c r="D33" s="34">
        <f>SUM(D36:D39)</f>
        <v>405700</v>
      </c>
      <c r="E33" s="34">
        <f>SUM(E36:E39)</f>
        <v>677000</v>
      </c>
      <c r="F33" s="34">
        <f>SUM(F36:F39)</f>
        <v>1015500</v>
      </c>
      <c r="G33" s="34">
        <f>SUM(G36:G39)</f>
        <v>1354000</v>
      </c>
      <c r="H33" s="34">
        <f>SUM(H36:H39)</f>
        <v>1690000</v>
      </c>
    </row>
    <row r="34" spans="3:8" x14ac:dyDescent="0.2">
      <c r="C34" s="72" t="s">
        <v>31</v>
      </c>
      <c r="D34" s="71">
        <v>6</v>
      </c>
      <c r="E34" s="71">
        <v>10</v>
      </c>
      <c r="F34" s="71">
        <v>15</v>
      </c>
      <c r="G34" s="71">
        <v>20</v>
      </c>
      <c r="H34" s="71">
        <v>25</v>
      </c>
    </row>
    <row r="35" spans="3:8" x14ac:dyDescent="0.2">
      <c r="C35" s="72" t="s">
        <v>55</v>
      </c>
      <c r="D35" s="73">
        <v>5000</v>
      </c>
      <c r="E35" s="73">
        <v>5000</v>
      </c>
      <c r="F35" s="73">
        <v>5000</v>
      </c>
      <c r="G35" s="73">
        <v>5000</v>
      </c>
      <c r="H35" s="73">
        <v>5000</v>
      </c>
    </row>
    <row r="36" spans="3:8" outlineLevel="1" x14ac:dyDescent="0.2">
      <c r="C36" s="26" t="s">
        <v>24</v>
      </c>
      <c r="D36" s="35">
        <f>D34*D35*12</f>
        <v>360000</v>
      </c>
      <c r="E36" s="35">
        <f t="shared" ref="E36:H36" si="8">E34*E35*12</f>
        <v>600000</v>
      </c>
      <c r="F36" s="35">
        <f t="shared" si="8"/>
        <v>900000</v>
      </c>
      <c r="G36" s="35">
        <f t="shared" si="8"/>
        <v>1200000</v>
      </c>
      <c r="H36" s="35">
        <f t="shared" si="8"/>
        <v>1500000</v>
      </c>
    </row>
    <row r="37" spans="3:8" outlineLevel="1" x14ac:dyDescent="0.2">
      <c r="C37" s="26" t="s">
        <v>25</v>
      </c>
      <c r="D37" s="35">
        <f>+D36*0.1</f>
        <v>36000</v>
      </c>
      <c r="E37" s="35">
        <f>+E36*0.1</f>
        <v>60000</v>
      </c>
      <c r="F37" s="35">
        <f>+F36*0.1</f>
        <v>90000</v>
      </c>
      <c r="G37" s="35">
        <f>+G36*0.1</f>
        <v>120000</v>
      </c>
      <c r="H37" s="35">
        <f>+H36*0.1</f>
        <v>150000</v>
      </c>
    </row>
    <row r="38" spans="3:8" outlineLevel="1" x14ac:dyDescent="0.2">
      <c r="C38" s="26" t="s">
        <v>26</v>
      </c>
      <c r="D38" s="75">
        <v>7200</v>
      </c>
      <c r="E38" s="75">
        <v>12000</v>
      </c>
      <c r="F38" s="75">
        <v>18000</v>
      </c>
      <c r="G38" s="75">
        <v>24000</v>
      </c>
      <c r="H38" s="75">
        <v>30000</v>
      </c>
    </row>
    <row r="39" spans="3:8" outlineLevel="1" x14ac:dyDescent="0.2">
      <c r="C39" s="26" t="s">
        <v>27</v>
      </c>
      <c r="D39" s="75">
        <v>2500</v>
      </c>
      <c r="E39" s="75">
        <v>5000</v>
      </c>
      <c r="F39" s="75">
        <v>7500</v>
      </c>
      <c r="G39" s="75">
        <v>10000</v>
      </c>
      <c r="H39" s="75">
        <v>10000</v>
      </c>
    </row>
    <row r="40" spans="3:8" x14ac:dyDescent="0.2">
      <c r="C40" s="4" t="s">
        <v>35</v>
      </c>
      <c r="D40" s="74">
        <v>25000</v>
      </c>
      <c r="E40" s="74">
        <v>50000</v>
      </c>
      <c r="F40" s="74">
        <v>75000</v>
      </c>
      <c r="G40" s="74">
        <v>100000</v>
      </c>
      <c r="H40" s="74">
        <v>100000</v>
      </c>
    </row>
    <row r="41" spans="3:8" x14ac:dyDescent="0.2">
      <c r="C41" s="4" t="s">
        <v>28</v>
      </c>
      <c r="D41" s="74">
        <v>2000</v>
      </c>
      <c r="E41" s="34">
        <f t="shared" ref="E41:G41" si="9">D41</f>
        <v>2000</v>
      </c>
      <c r="F41" s="34">
        <f t="shared" si="9"/>
        <v>2000</v>
      </c>
      <c r="G41" s="34">
        <f t="shared" si="9"/>
        <v>2000</v>
      </c>
      <c r="H41" s="34">
        <f>G41</f>
        <v>2000</v>
      </c>
    </row>
    <row r="42" spans="3:8" x14ac:dyDescent="0.2">
      <c r="C42" s="4" t="s">
        <v>29</v>
      </c>
      <c r="D42" s="74">
        <f>5000</f>
        <v>5000</v>
      </c>
      <c r="E42" s="74">
        <v>7500</v>
      </c>
      <c r="F42" s="74">
        <v>10000</v>
      </c>
      <c r="G42" s="74">
        <v>10000</v>
      </c>
      <c r="H42" s="74">
        <v>10000</v>
      </c>
    </row>
    <row r="43" spans="3:8" x14ac:dyDescent="0.2">
      <c r="C43" s="4" t="s">
        <v>4</v>
      </c>
      <c r="D43" s="34">
        <f>+D22*D44</f>
        <v>32500</v>
      </c>
      <c r="E43" s="34">
        <f>+E22*E44</f>
        <v>325000</v>
      </c>
      <c r="F43" s="34">
        <f>+F22*F44</f>
        <v>390000</v>
      </c>
      <c r="G43" s="34">
        <f>+G22*G44</f>
        <v>780000</v>
      </c>
      <c r="H43" s="34">
        <f>+H22*H44</f>
        <v>2275000</v>
      </c>
    </row>
    <row r="44" spans="3:8" x14ac:dyDescent="0.2">
      <c r="C44" s="72" t="s">
        <v>30</v>
      </c>
      <c r="D44" s="77">
        <v>200</v>
      </c>
      <c r="E44" s="76">
        <f>D44</f>
        <v>200</v>
      </c>
      <c r="F44" s="76">
        <f t="shared" ref="F44:H44" si="10">E44</f>
        <v>200</v>
      </c>
      <c r="G44" s="76">
        <f t="shared" si="10"/>
        <v>200</v>
      </c>
      <c r="H44" s="76">
        <f t="shared" si="10"/>
        <v>200</v>
      </c>
    </row>
    <row r="45" spans="3:8" x14ac:dyDescent="0.2">
      <c r="C45" s="26"/>
      <c r="D45" s="35"/>
      <c r="E45" s="35"/>
      <c r="F45" s="35"/>
      <c r="G45" s="35"/>
      <c r="H45" s="35"/>
    </row>
    <row r="46" spans="3:8" x14ac:dyDescent="0.2">
      <c r="C46" s="23" t="s">
        <v>44</v>
      </c>
      <c r="D46" s="68">
        <f>SUM(D40:D43,D33)</f>
        <v>470200</v>
      </c>
      <c r="E46" s="68">
        <f t="shared" ref="E46:H46" si="11">SUM(E40:E43,E33)</f>
        <v>1061500</v>
      </c>
      <c r="F46" s="68">
        <f t="shared" si="11"/>
        <v>1492500</v>
      </c>
      <c r="G46" s="68">
        <f t="shared" si="11"/>
        <v>2246000</v>
      </c>
      <c r="H46" s="68">
        <f t="shared" si="11"/>
        <v>4077000</v>
      </c>
    </row>
    <row r="47" spans="3:8" x14ac:dyDescent="0.2">
      <c r="C47" s="4"/>
      <c r="D47" s="36"/>
      <c r="E47" s="36"/>
      <c r="F47" s="36"/>
      <c r="G47" s="36"/>
      <c r="H47" s="36"/>
    </row>
    <row r="48" spans="3:8" x14ac:dyDescent="0.2">
      <c r="C48" s="61" t="s">
        <v>45</v>
      </c>
      <c r="D48" s="69">
        <f>D31-D46</f>
        <v>-421450</v>
      </c>
      <c r="E48" s="69">
        <f>E31-E46</f>
        <v>-525250</v>
      </c>
      <c r="F48" s="69">
        <f>F31-F46</f>
        <v>-30000</v>
      </c>
      <c r="G48" s="69">
        <f>G31-G46</f>
        <v>679000</v>
      </c>
      <c r="H48" s="69">
        <f>H31-H46</f>
        <v>2748000</v>
      </c>
    </row>
    <row r="49" spans="3:11" x14ac:dyDescent="0.2">
      <c r="C49" s="38"/>
      <c r="D49" s="39"/>
      <c r="E49" s="39"/>
      <c r="F49" s="39"/>
      <c r="G49" s="39"/>
      <c r="H49" s="39"/>
    </row>
    <row r="50" spans="3:11" x14ac:dyDescent="0.2">
      <c r="C50" s="60" t="s">
        <v>47</v>
      </c>
      <c r="D50" s="70">
        <f>D48</f>
        <v>-421450</v>
      </c>
      <c r="E50" s="70">
        <f>D50+E48</f>
        <v>-946700</v>
      </c>
      <c r="F50" s="70">
        <f t="shared" ref="F50:H50" si="12">E50+F48</f>
        <v>-976700</v>
      </c>
      <c r="G50" s="70">
        <f t="shared" si="12"/>
        <v>-297700</v>
      </c>
      <c r="H50" s="70">
        <f t="shared" si="12"/>
        <v>2450300</v>
      </c>
    </row>
    <row r="51" spans="3:11" x14ac:dyDescent="0.2">
      <c r="C51" s="4"/>
      <c r="D51" s="37"/>
      <c r="E51" s="37"/>
      <c r="F51" s="37"/>
      <c r="G51" s="37"/>
      <c r="H51" s="37"/>
    </row>
    <row r="52" spans="3:11" s="66" customFormat="1" ht="18" x14ac:dyDescent="0.2">
      <c r="C52" s="66" t="s">
        <v>36</v>
      </c>
    </row>
    <row r="53" spans="3:11" x14ac:dyDescent="0.2">
      <c r="C53" s="27"/>
      <c r="D53" s="28"/>
      <c r="E53" s="28"/>
      <c r="F53" s="28"/>
      <c r="G53" s="28"/>
      <c r="H53" s="28"/>
      <c r="I53" s="19"/>
      <c r="J53" s="19"/>
      <c r="K53" s="19"/>
    </row>
    <row r="54" spans="3:11" x14ac:dyDescent="0.2">
      <c r="C54" s="84" t="s">
        <v>37</v>
      </c>
      <c r="D54" s="87">
        <f>SUMIF(48:48,"&lt;0")</f>
        <v>-976700</v>
      </c>
      <c r="H54" s="19"/>
      <c r="I54" s="19"/>
      <c r="J54" s="19"/>
      <c r="K54" s="19"/>
    </row>
    <row r="55" spans="3:11" x14ac:dyDescent="0.2">
      <c r="C55" s="85" t="s">
        <v>58</v>
      </c>
      <c r="D55" s="88">
        <f>SUMIF(48:48,"&gt;0")</f>
        <v>3427000</v>
      </c>
      <c r="H55" s="19"/>
      <c r="I55" s="19"/>
      <c r="J55" s="19"/>
      <c r="K55" s="19"/>
    </row>
    <row r="56" spans="3:11" ht="45" customHeight="1" x14ac:dyDescent="0.2">
      <c r="C56" s="85" t="s">
        <v>38</v>
      </c>
      <c r="D56" s="89" t="str">
        <f>ROUND(COUNTIF(48:48,"&lt;0")+(-G50/H48),2) &amp; " years"</f>
        <v>3.11 years</v>
      </c>
      <c r="E56" s="109" t="s">
        <v>61</v>
      </c>
      <c r="F56" s="109"/>
      <c r="G56" s="109"/>
      <c r="H56" s="19"/>
      <c r="I56" s="19"/>
      <c r="J56" s="19"/>
      <c r="K56" s="19"/>
    </row>
    <row r="57" spans="3:11" x14ac:dyDescent="0.2">
      <c r="C57" s="85" t="s">
        <v>60</v>
      </c>
      <c r="D57" s="90">
        <f>IRR(D48:H48)</f>
        <v>0.47546496124754278</v>
      </c>
      <c r="E57" s="13"/>
      <c r="H57" s="19"/>
      <c r="I57" s="19"/>
      <c r="J57" s="19"/>
      <c r="K57" s="19"/>
    </row>
    <row r="58" spans="3:11" x14ac:dyDescent="0.2">
      <c r="C58" s="86" t="s">
        <v>59</v>
      </c>
      <c r="D58" s="91">
        <f>(SUMIF(48:48,"&gt;0")-(-D54))/(-D54)</f>
        <v>2.5087539674413843</v>
      </c>
      <c r="H58" s="19"/>
      <c r="I58" s="19"/>
      <c r="J58" s="19"/>
      <c r="K58" s="19"/>
    </row>
    <row r="59" spans="3:11" x14ac:dyDescent="0.2">
      <c r="C59" s="4"/>
      <c r="H59" s="30"/>
      <c r="I59" s="30"/>
      <c r="J59" s="30"/>
      <c r="K59" s="30"/>
    </row>
    <row r="60" spans="3:11" x14ac:dyDescent="0.2">
      <c r="I60" s="30"/>
      <c r="J60" s="30"/>
      <c r="K60" s="30"/>
    </row>
    <row r="61" spans="3:11" x14ac:dyDescent="0.2">
      <c r="I61" s="29"/>
      <c r="J61" s="29"/>
      <c r="K61" s="29"/>
    </row>
  </sheetData>
  <mergeCells count="1">
    <mergeCell ref="E56:G56"/>
  </mergeCells>
  <pageMargins left="0.7" right="0.7" top="0.75" bottom="0.75" header="0.3" footer="0.3"/>
  <pageSetup paperSize="8" orientation="landscape" horizontalDpi="0" verticalDpi="0" copies="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Slideworks guide</vt:lpstr>
      <vt:lpstr>Project overview</vt:lpstr>
      <vt:lpstr>Back of the envelope case</vt:lpstr>
      <vt:lpstr>Project business case</vt:lpstr>
    </vt:vector>
  </TitlesOfParts>
  <Manager>Slideworks</Manager>
  <Company>Slideworks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Slideworks Business Case back of the envelope template</dc:title>
  <dc:subject>business case back of envelope</dc:subject>
  <dc:creator>Slideworks</dc:creator>
  <cp:keywords>business case, business development, financial model</cp:keywords>
  <dc:description>Copyright of Slideworks.io. Any unauthorized distribution prohibited. See our full terms and conditions at https://slideworks.io/terms </dc:description>
  <cp:lastModifiedBy>Alexandra Kampmann</cp:lastModifiedBy>
  <cp:lastPrinted>2020-03-09T08:19:48Z</cp:lastPrinted>
  <dcterms:created xsi:type="dcterms:W3CDTF">2017-03-08T14:05:13Z</dcterms:created>
  <dcterms:modified xsi:type="dcterms:W3CDTF">2025-03-10T07:34:47Z</dcterms:modified>
  <cp:category>Business case</cp:category>
</cp:coreProperties>
</file>