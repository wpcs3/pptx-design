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mc:AlternateContent xmlns:mc="http://schemas.openxmlformats.org/markup-compatibility/2006">
    <mc:Choice Requires="x15">
      <x15ac:absPath xmlns:x15ac="http://schemas.microsoft.com/office/spreadsheetml/2010/11/ac" url="/Users/alexandrahazardkampmann/Desktop/SLIDEWORKS/9. Slideworks - Simple Business Case/Template files/Excel files/"/>
    </mc:Choice>
  </mc:AlternateContent>
  <xr:revisionPtr revIDLastSave="0" documentId="13_ncr:1_{BF9A493A-7CFD-C140-95B1-D4361F85C274}" xr6:coauthVersionLast="47" xr6:coauthVersionMax="47" xr10:uidLastSave="{00000000-0000-0000-0000-000000000000}"/>
  <bookViews>
    <workbookView xWindow="44360" yWindow="4420" windowWidth="28800" windowHeight="17500" activeTab="2" xr2:uid="{7DD9A43F-A16D-AC4A-ABDA-1EC3C722E813}"/>
  </bookViews>
  <sheets>
    <sheet name="Slideworks guide" sheetId="11" r:id="rId1"/>
    <sheet name="Project overview" sheetId="12" r:id="rId2"/>
    <sheet name="Project financials" sheetId="7" r:id="rId3"/>
    <sheet name="Project costs" sheetId="9" r:id="rId4"/>
    <sheet name="Project benefits" sheetId="10" r:id="rId5"/>
  </sheets>
  <definedNames>
    <definedName name="_xlnm.Print_Area" localSheetId="2">'Project financials'!$B$2:$B$4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4" i="7" l="1"/>
  <c r="C75" i="7"/>
  <c r="C76" i="7" s="1"/>
  <c r="C77" i="7" s="1"/>
  <c r="C78" i="7" s="1"/>
  <c r="C79" i="7" s="1"/>
  <c r="C80" i="7" s="1"/>
  <c r="C81" i="7" s="1"/>
  <c r="C82" i="7" s="1"/>
  <c r="C83" i="7" s="1"/>
  <c r="C84" i="7" s="1"/>
  <c r="E75" i="7"/>
  <c r="E76" i="7" s="1"/>
  <c r="E77" i="7" s="1"/>
  <c r="E78" i="7" s="1"/>
  <c r="E79" i="7" s="1"/>
  <c r="E80" i="7" s="1"/>
  <c r="E81" i="7" s="1"/>
  <c r="E82" i="7" s="1"/>
  <c r="E83" i="7" s="1"/>
  <c r="E84" i="7" s="1"/>
  <c r="B75" i="7"/>
  <c r="J9" i="10"/>
  <c r="J8" i="10"/>
  <c r="C13" i="10"/>
  <c r="C15" i="10" s="1"/>
  <c r="C11" i="7" s="1"/>
  <c r="D12" i="10"/>
  <c r="D13" i="10" s="1"/>
  <c r="C8" i="7"/>
  <c r="J16" i="9"/>
  <c r="J15" i="9"/>
  <c r="J14" i="9"/>
  <c r="H18" i="9"/>
  <c r="H7" i="7" s="1"/>
  <c r="G18" i="9"/>
  <c r="G7" i="7" s="1"/>
  <c r="F18" i="9"/>
  <c r="F7" i="7" s="1"/>
  <c r="E18" i="9"/>
  <c r="E7" i="7" s="1"/>
  <c r="D18" i="9"/>
  <c r="D7" i="7" s="1"/>
  <c r="C18" i="9"/>
  <c r="C7" i="7" s="1"/>
  <c r="D41" i="9"/>
  <c r="D8" i="7" s="1"/>
  <c r="D27" i="10"/>
  <c r="D12" i="7" s="1"/>
  <c r="C27" i="10"/>
  <c r="C12" i="7" s="1"/>
  <c r="H27" i="10"/>
  <c r="H12" i="7" s="1"/>
  <c r="G27" i="10"/>
  <c r="G12" i="7" s="1"/>
  <c r="F27" i="10"/>
  <c r="F12" i="7" s="1"/>
  <c r="E27" i="10"/>
  <c r="E12" i="7" s="1"/>
  <c r="J25" i="10"/>
  <c r="J24" i="10"/>
  <c r="J23" i="10"/>
  <c r="J22" i="10"/>
  <c r="J21" i="10"/>
  <c r="J32" i="9"/>
  <c r="J36" i="9"/>
  <c r="J34" i="9"/>
  <c r="J33" i="9"/>
  <c r="J10" i="9"/>
  <c r="J9" i="9"/>
  <c r="J8" i="9"/>
  <c r="J7" i="9"/>
  <c r="J11" i="9"/>
  <c r="D75" i="7" l="1"/>
  <c r="F75" i="7" s="1"/>
  <c r="G75" i="7" s="1"/>
  <c r="B76" i="7"/>
  <c r="D76" i="7" s="1"/>
  <c r="D15" i="10"/>
  <c r="D11" i="7" s="1"/>
  <c r="D14" i="7" s="1"/>
  <c r="E12" i="10"/>
  <c r="J12" i="7"/>
  <c r="C14" i="7"/>
  <c r="J18" i="9"/>
  <c r="E41" i="9"/>
  <c r="E8" i="7" s="1"/>
  <c r="J7" i="7"/>
  <c r="C33" i="7" s="1"/>
  <c r="C35" i="7" s="1"/>
  <c r="J27" i="10"/>
  <c r="J39" i="9"/>
  <c r="J26" i="9"/>
  <c r="J27" i="9"/>
  <c r="J29" i="9"/>
  <c r="J28" i="9"/>
  <c r="J35" i="9"/>
  <c r="J37" i="9"/>
  <c r="J24" i="9"/>
  <c r="F41" i="9"/>
  <c r="F8" i="7" s="1"/>
  <c r="F76" i="7" l="1"/>
  <c r="G76" i="7" s="1"/>
  <c r="B77" i="7"/>
  <c r="D77" i="7" s="1"/>
  <c r="F12" i="10"/>
  <c r="E13" i="10"/>
  <c r="C16" i="7"/>
  <c r="D16" i="7" s="1"/>
  <c r="J7" i="10"/>
  <c r="H41" i="9"/>
  <c r="J25" i="9"/>
  <c r="G41" i="9"/>
  <c r="G8" i="7" s="1"/>
  <c r="F77" i="7" l="1"/>
  <c r="G77" i="7" s="1"/>
  <c r="B78" i="7"/>
  <c r="D78" i="7" s="1"/>
  <c r="E15" i="10"/>
  <c r="G12" i="10"/>
  <c r="F13" i="10"/>
  <c r="F15" i="10" s="1"/>
  <c r="F11" i="7" s="1"/>
  <c r="F14" i="7" s="1"/>
  <c r="H8" i="7"/>
  <c r="J41" i="9"/>
  <c r="F78" i="7" l="1"/>
  <c r="G78" i="7" s="1"/>
  <c r="B79" i="7"/>
  <c r="D79" i="7" s="1"/>
  <c r="H12" i="10"/>
  <c r="H13" i="10" s="1"/>
  <c r="H15" i="10" s="1"/>
  <c r="H11" i="7" s="1"/>
  <c r="H14" i="7" s="1"/>
  <c r="G13" i="10"/>
  <c r="G15" i="10" s="1"/>
  <c r="G11" i="7" s="1"/>
  <c r="G14" i="7" s="1"/>
  <c r="E11" i="7"/>
  <c r="E14" i="7" s="1"/>
  <c r="J8" i="7"/>
  <c r="F79" i="7" l="1"/>
  <c r="G79" i="7" s="1"/>
  <c r="B80" i="7"/>
  <c r="D80" i="7" s="1"/>
  <c r="J15" i="10"/>
  <c r="C23" i="7"/>
  <c r="C25" i="7"/>
  <c r="E16" i="7"/>
  <c r="F16" i="7" s="1"/>
  <c r="G16" i="7" s="1"/>
  <c r="J13" i="10"/>
  <c r="F80" i="7" l="1"/>
  <c r="G80" i="7" s="1"/>
  <c r="B81" i="7"/>
  <c r="D81" i="7" s="1"/>
  <c r="H16" i="7"/>
  <c r="J16" i="7" s="1"/>
  <c r="F81" i="7" l="1"/>
  <c r="G81" i="7" s="1"/>
  <c r="B82" i="7"/>
  <c r="D82" i="7" s="1"/>
  <c r="J11" i="7"/>
  <c r="C29" i="7" s="1"/>
  <c r="F82" i="7" l="1"/>
  <c r="G82" i="7" s="1"/>
  <c r="B83" i="7"/>
  <c r="D83" i="7" s="1"/>
  <c r="J14" i="7"/>
  <c r="C27" i="7" s="1"/>
  <c r="F83" i="7" l="1"/>
  <c r="G83" i="7" s="1"/>
  <c r="B84" i="7"/>
  <c r="D84" i="7" s="1"/>
  <c r="F84" i="7" l="1"/>
  <c r="G84" i="7" s="1"/>
</calcChain>
</file>

<file path=xl/sharedStrings.xml><?xml version="1.0" encoding="utf-8"?>
<sst xmlns="http://schemas.openxmlformats.org/spreadsheetml/2006/main" count="184" uniqueCount="125">
  <si>
    <t>Year 0</t>
  </si>
  <si>
    <t>Year 1</t>
  </si>
  <si>
    <t>Year 2</t>
  </si>
  <si>
    <t>Year 3</t>
  </si>
  <si>
    <t>Year 4</t>
  </si>
  <si>
    <t>Year 5</t>
  </si>
  <si>
    <t>Total</t>
  </si>
  <si>
    <t/>
  </si>
  <si>
    <t>Project costs</t>
  </si>
  <si>
    <t>Investment category #3</t>
  </si>
  <si>
    <t>Investment category #4</t>
  </si>
  <si>
    <t>Investment category #5</t>
  </si>
  <si>
    <t>Ongoing project costs</t>
  </si>
  <si>
    <t>Ongoing cost #1 (e.g., salaries)</t>
  </si>
  <si>
    <t>Operating expenses</t>
  </si>
  <si>
    <t>Marketing and sales expenses</t>
  </si>
  <si>
    <t>Other expenses</t>
  </si>
  <si>
    <t>Ongoing cost #5</t>
  </si>
  <si>
    <t>Ongoing cost #4</t>
  </si>
  <si>
    <t>Ongoing cost #3 (e.g., software licenses)</t>
  </si>
  <si>
    <t>Ongoing cost #2 (e.g., personnel expenses)</t>
  </si>
  <si>
    <t>Ongoing cost #6 (e.g., Meta)</t>
  </si>
  <si>
    <t>Ongoing cost #7</t>
  </si>
  <si>
    <t>Ongoing cost #8</t>
  </si>
  <si>
    <t>Ongoing cost #9</t>
  </si>
  <si>
    <t>Ongoing cost #10</t>
  </si>
  <si>
    <t>Ongoing cost #11</t>
  </si>
  <si>
    <t>Total ongoing project costs</t>
  </si>
  <si>
    <t>Revenue creation</t>
  </si>
  <si>
    <t>Cost savings</t>
  </si>
  <si>
    <t>Revenue stream #1 (e.g., new customer subscriptions)</t>
  </si>
  <si>
    <t>Revenue stream #2 (e.g., ad sales)</t>
  </si>
  <si>
    <t>Revenue stream #3</t>
  </si>
  <si>
    <t>Cost savings #1 (e.g., less manual processing)</t>
  </si>
  <si>
    <t>Cost savings #2</t>
  </si>
  <si>
    <t>Cost savings #3</t>
  </si>
  <si>
    <t>Cost savings #4</t>
  </si>
  <si>
    <t>Cost savings #5</t>
  </si>
  <si>
    <t>Investment case</t>
  </si>
  <si>
    <t>Project financials</t>
  </si>
  <si>
    <t>Costs</t>
  </si>
  <si>
    <t>Cumulative cash flow</t>
  </si>
  <si>
    <t>Discount rate</t>
  </si>
  <si>
    <t>Return on investment (ROI):</t>
  </si>
  <si>
    <t>How to use this Excel model:</t>
  </si>
  <si>
    <t>Formatting:</t>
  </si>
  <si>
    <t>Light yellow cells are input fields</t>
  </si>
  <si>
    <t>All other cells are calculated</t>
  </si>
  <si>
    <t>Project benefits</t>
  </si>
  <si>
    <t>Benefits</t>
  </si>
  <si>
    <t>Comment/rationale</t>
  </si>
  <si>
    <t>Project investments</t>
  </si>
  <si>
    <t>Capital expenditures</t>
  </si>
  <si>
    <t>Project expenses (one-time expenses)</t>
  </si>
  <si>
    <t>Investment category #1 (e.g., production equipment)</t>
  </si>
  <si>
    <t>Investment category #2 (e.g., IT hardware)</t>
  </si>
  <si>
    <t>Expense #1 (e.g., prototype development)</t>
  </si>
  <si>
    <t>Expense #2</t>
  </si>
  <si>
    <t>Expense #3</t>
  </si>
  <si>
    <t>[Insert comment]</t>
  </si>
  <si>
    <t>Net present value (NPV):</t>
  </si>
  <si>
    <t>Internal rate of return:</t>
  </si>
  <si>
    <t>Payback period</t>
  </si>
  <si>
    <t>Note: To calculate fractional year find last year where cumulative cash flow is zero (row 16). Then divide that number by the cash flow (row 14) of the following year. In this example these cells are D16 and E14.</t>
  </si>
  <si>
    <t>Break-even analysis:</t>
  </si>
  <si>
    <t>Gross profit per [unit/sale]</t>
  </si>
  <si>
    <t>Net project costs (annual incremental costs + initial/one-off investments)</t>
  </si>
  <si>
    <t>Break-even point:</t>
  </si>
  <si>
    <t>Method</t>
  </si>
  <si>
    <t>Answers the question…</t>
  </si>
  <si>
    <t xml:space="preserve">Expressed in… </t>
  </si>
  <si>
    <t>Typically used for…</t>
  </si>
  <si>
    <t>How many sales are needed to recoup the investment?</t>
  </si>
  <si>
    <t>Units sold</t>
  </si>
  <si>
    <t>Market-focused projects like product development and new market expansion</t>
  </si>
  <si>
    <t>How long will it take to recoup the investment?</t>
  </si>
  <si>
    <t>Months or years</t>
  </si>
  <si>
    <t>Projects with significant upfront costs, like facilities projects, and productivity projects that accumulate benefits over time</t>
  </si>
  <si>
    <t>How much is this project worth to the business?</t>
  </si>
  <si>
    <t>Dollars/Euro etc.</t>
  </si>
  <si>
    <t>Projects with large expenditures</t>
  </si>
  <si>
    <t>What rate of return will this project deliver over its lifecycle?</t>
  </si>
  <si>
    <t>Percentage</t>
  </si>
  <si>
    <t>Projects that a company expects to extend indefinitely, especially those requiring borrowing.</t>
  </si>
  <si>
    <t>Five ways to calculate when a project is a good business case:</t>
  </si>
  <si>
    <t>Net present value (NPV)</t>
  </si>
  <si>
    <t>Breakeven analysis</t>
  </si>
  <si>
    <t>Internal rate of return (IRR)</t>
  </si>
  <si>
    <t>Return on investment (ROI)</t>
  </si>
  <si>
    <t>How much profit can we earn?</t>
  </si>
  <si>
    <t>Project description</t>
  </si>
  <si>
    <t>Insert a brief description of the project</t>
  </si>
  <si>
    <t>Project details</t>
  </si>
  <si>
    <t>Project name:</t>
  </si>
  <si>
    <t>[Insert name of project]</t>
  </si>
  <si>
    <t>Project category:</t>
  </si>
  <si>
    <t>[Insert category, if relevant]</t>
  </si>
  <si>
    <t>Business unit/team:</t>
  </si>
  <si>
    <t>[Insert business unit/team, if relevant]</t>
  </si>
  <si>
    <t>Model version:</t>
  </si>
  <si>
    <t>Date:</t>
  </si>
  <si>
    <t>[Insert date]</t>
  </si>
  <si>
    <t>Model prepared by:</t>
  </si>
  <si>
    <t>[Insert name and title]</t>
  </si>
  <si>
    <t>Project leader:</t>
  </si>
  <si>
    <t>Project sponsor:</t>
  </si>
  <si>
    <t>Entry</t>
  </si>
  <si>
    <t>Revenues</t>
  </si>
  <si>
    <t>Cost of goods sold</t>
  </si>
  <si>
    <t>Cost of goods sold (COGS)</t>
  </si>
  <si>
    <t>Cost of goods sold (COGS), (% of revenue)</t>
  </si>
  <si>
    <t>Gross margin from new revenue streams</t>
  </si>
  <si>
    <t>Total cost savings</t>
  </si>
  <si>
    <t>Total project investments (Capex)</t>
  </si>
  <si>
    <t>Preliminary cash flow</t>
  </si>
  <si>
    <t>Sensitivity analysis</t>
  </si>
  <si>
    <t>Revenue</t>
  </si>
  <si>
    <t>Revenue per sale</t>
  </si>
  <si>
    <t>Sales volume</t>
  </si>
  <si>
    <t>Increase in revenue</t>
  </si>
  <si>
    <t>-</t>
  </si>
  <si>
    <t>Growth in customer base</t>
  </si>
  <si>
    <t>Note: Use whatever metric makes sense to test sensitivity to e.g., market size, cost overrun etc. and adjust rest of columns to match that</t>
  </si>
  <si>
    <t>Share of increased customer base that results in new customers</t>
  </si>
  <si>
    <t>Use this Excel to more explicitly spell out your project costs and expected income streams, as well as calculate the investment case and perform sensitivity analyses. Can be used as an extended version of the preliminary business case from the file "1. Slideworks_business_case_BACK OF ENVELOPE_template.xlsx"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</si>
</sst>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5" formatCode="&quot;$&quot;#,##0_);\(&quot;$&quot;#,##0\)"/>
    <numFmt numFmtId="6" formatCode="&quot;$&quot;#,##0_);[Red]\(&quot;$&quot;#,##0\)"/>
    <numFmt numFmtId="44" formatCode="_(&quot;$&quot;* #,##0.00_);_(&quot;$&quot;* \(#,##0.00\);_(&quot;$&quot;* &quot;-&quot;??_);_(@_)"/>
    <numFmt numFmtId="43" formatCode="_(* #,##0.00_);_(* \(#,##0.00\);_(* &quot;-&quot;??_);_(@_)"/>
    <numFmt numFmtId="164" formatCode="#,##0.0_);\(#,##0.0\)"/>
    <numFmt numFmtId="165" formatCode="_-* #,##0.00\ &quot;kr.&quot;_-;\-* #,##0.00\ &quot;kr.&quot;_-;_-* &quot;-&quot;??\ &quot;kr.&quot;_-;_-@_-"/>
    <numFmt numFmtId="166" formatCode="_([$$-409]* #,##0.00_);_([$$-409]* \(#,##0.00\);_([$$-409]* &quot;-&quot;??_);_(@_)"/>
    <numFmt numFmtId="167" formatCode="_-* #,##0\ &quot;kr.&quot;_-;\-* #,##0\ &quot;kr.&quot;_-;_-* &quot;-&quot;??\ &quot;kr.&quot;_-;_-@_-"/>
    <numFmt numFmtId="168" formatCode="0.00000"/>
    <numFmt numFmtId="169" formatCode="0.0"/>
    <numFmt numFmtId="170" formatCode="0.0%"/>
    <numFmt numFmtId="171" formatCode="_(* #,##0_);_(* \(#,##0\);_(* &quot;-&quot;??_);_(@_)"/>
  </numFmts>
  <fonts count="16" x14ac:knownFonts="1">
    <font>
      <sz val="12"/>
      <color theme="1"/>
      <name val="Arial"/>
      <family val="2"/>
      <scheme val="minor"/>
    </font>
    <font>
      <sz val="12"/>
      <color theme="1"/>
      <name val="Arial"/>
      <family val="2"/>
      <scheme val="minor"/>
    </font>
    <font>
      <b/>
      <sz val="12"/>
      <color theme="0"/>
      <name val="Arial"/>
      <family val="2"/>
      <scheme val="minor"/>
    </font>
    <font>
      <sz val="12"/>
      <color theme="0"/>
      <name val="Arial"/>
      <family val="2"/>
      <scheme val="minor"/>
    </font>
    <font>
      <sz val="11"/>
      <color theme="1"/>
      <name val="Arial"/>
      <family val="2"/>
      <scheme val="minor"/>
    </font>
    <font>
      <sz val="11"/>
      <color theme="3"/>
      <name val="Arial"/>
      <family val="2"/>
    </font>
    <font>
      <sz val="10"/>
      <name val="Arial"/>
      <family val="2"/>
    </font>
    <font>
      <sz val="9"/>
      <color indexed="12"/>
      <name val="Arial"/>
      <family val="2"/>
    </font>
    <font>
      <sz val="11"/>
      <color theme="0"/>
      <name val="Arial"/>
      <family val="2"/>
    </font>
    <font>
      <b/>
      <sz val="12"/>
      <color theme="0"/>
      <name val="Arial"/>
      <family val="2"/>
    </font>
    <font>
      <sz val="12"/>
      <color theme="0"/>
      <name val="Arial"/>
      <family val="2"/>
    </font>
    <font>
      <b/>
      <sz val="20"/>
      <color theme="0"/>
      <name val="Arial"/>
      <family val="2"/>
    </font>
    <font>
      <b/>
      <sz val="12"/>
      <color theme="1"/>
      <name val="Arial"/>
      <family val="2"/>
    </font>
    <font>
      <sz val="11"/>
      <color theme="1"/>
      <name val="Arial"/>
      <family val="2"/>
    </font>
    <font>
      <b/>
      <sz val="12"/>
      <color theme="1"/>
      <name val="Arial"/>
      <family val="2"/>
      <scheme val="minor"/>
    </font>
    <font>
      <sz val="12"/>
      <color theme="4"/>
      <name val="Arial (Body)"/>
    </font>
  </fonts>
  <fills count="11">
    <fill>
      <patternFill patternType="none"/>
    </fill>
    <fill>
      <patternFill patternType="gray125"/>
    </fill>
    <fill>
      <patternFill patternType="solid">
        <fgColor theme="0"/>
        <bgColor indexed="64"/>
      </patternFill>
    </fill>
    <fill>
      <patternFill patternType="solid">
        <fgColor theme="9" tint="0.79998168889431442"/>
        <bgColor indexed="64"/>
      </patternFill>
    </fill>
    <fill>
      <patternFill patternType="solid">
        <fgColor theme="4"/>
        <bgColor indexed="64"/>
      </patternFill>
    </fill>
    <fill>
      <patternFill patternType="solid">
        <fgColor theme="5"/>
        <bgColor indexed="64"/>
      </patternFill>
    </fill>
    <fill>
      <patternFill patternType="solid">
        <fgColor theme="1"/>
        <bgColor indexed="64"/>
      </patternFill>
    </fill>
    <fill>
      <patternFill patternType="solid">
        <fgColor theme="1" tint="0.89999084444715716"/>
        <bgColor rgb="FF000000"/>
      </patternFill>
    </fill>
    <fill>
      <patternFill patternType="solid">
        <fgColor theme="1"/>
        <bgColor rgb="FF000000"/>
      </patternFill>
    </fill>
    <fill>
      <patternFill patternType="solid">
        <fgColor theme="1" tint="-4.9989318521683403E-2"/>
        <bgColor rgb="FF000000"/>
      </patternFill>
    </fill>
    <fill>
      <patternFill patternType="solid">
        <fgColor theme="1" tint="-4.9989318521683403E-2"/>
        <bgColor indexed="64"/>
      </patternFill>
    </fill>
  </fills>
  <borders count="25">
    <border>
      <left/>
      <right/>
      <top/>
      <bottom/>
      <diagonal/>
    </border>
    <border>
      <left/>
      <right/>
      <top style="thin">
        <color auto="1"/>
      </top>
      <bottom style="thin">
        <color auto="1"/>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slantDashDot">
        <color indexed="64"/>
      </left>
      <right style="slantDashDot">
        <color indexed="64"/>
      </right>
      <top/>
      <bottom/>
      <diagonal/>
    </border>
    <border>
      <left style="slantDashDot">
        <color indexed="64"/>
      </left>
      <right style="slantDashDot">
        <color indexed="64"/>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slantDashDot">
        <color indexed="64"/>
      </left>
      <right/>
      <top style="slantDashDot">
        <color indexed="64"/>
      </top>
      <bottom/>
      <diagonal/>
    </border>
    <border>
      <left/>
      <right/>
      <top style="slantDashDot">
        <color indexed="64"/>
      </top>
      <bottom/>
      <diagonal/>
    </border>
    <border>
      <left/>
      <right style="slantDashDot">
        <color indexed="64"/>
      </right>
      <top style="slantDashDot">
        <color indexed="64"/>
      </top>
      <bottom/>
      <diagonal/>
    </border>
    <border>
      <left style="slantDashDot">
        <color indexed="64"/>
      </left>
      <right/>
      <top/>
      <bottom style="slantDashDot">
        <color indexed="64"/>
      </bottom>
      <diagonal/>
    </border>
    <border>
      <left/>
      <right/>
      <top/>
      <bottom style="slantDashDot">
        <color indexed="64"/>
      </bottom>
      <diagonal/>
    </border>
    <border>
      <left/>
      <right style="slantDashDot">
        <color indexed="64"/>
      </right>
      <top/>
      <bottom style="slantDashDot">
        <color indexed="64"/>
      </bottom>
      <diagonal/>
    </border>
    <border>
      <left style="thin">
        <color theme="3"/>
      </left>
      <right/>
      <top style="thin">
        <color theme="3"/>
      </top>
      <bottom style="thin">
        <color theme="3"/>
      </bottom>
      <diagonal/>
    </border>
    <border>
      <left/>
      <right style="thin">
        <color theme="3"/>
      </right>
      <top style="thin">
        <color theme="3"/>
      </top>
      <bottom style="thin">
        <color theme="3"/>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style="thin">
        <color indexed="64"/>
      </top>
      <bottom/>
      <diagonal/>
    </border>
    <border>
      <left/>
      <right/>
      <top/>
      <bottom style="thin">
        <color indexed="64"/>
      </bottom>
      <diagonal/>
    </border>
  </borders>
  <cellStyleXfs count="10">
    <xf numFmtId="0" fontId="0" fillId="0" borderId="0"/>
    <xf numFmtId="44" fontId="1" fillId="0" borderId="0" applyFont="0" applyFill="0" applyBorder="0" applyAlignment="0" applyProtection="0"/>
    <xf numFmtId="9" fontId="1" fillId="0" borderId="0" applyFont="0" applyFill="0" applyBorder="0" applyAlignment="0" applyProtection="0"/>
    <xf numFmtId="0" fontId="4" fillId="0" borderId="0"/>
    <xf numFmtId="0" fontId="6" fillId="0" borderId="0"/>
    <xf numFmtId="6" fontId="7" fillId="0" borderId="0" applyNumberFormat="0" applyFill="0" applyBorder="0" applyAlignment="0" applyProtection="0">
      <alignment horizontal="right"/>
    </xf>
    <xf numFmtId="9" fontId="4" fillId="0" borderId="0" applyFont="0" applyFill="0" applyBorder="0" applyAlignment="0" applyProtection="0"/>
    <xf numFmtId="165" fontId="1" fillId="0" borderId="0" applyFont="0" applyFill="0" applyBorder="0" applyAlignment="0" applyProtection="0"/>
    <xf numFmtId="0" fontId="6" fillId="0" borderId="0"/>
    <xf numFmtId="43" fontId="1" fillId="0" borderId="0" applyFont="0" applyFill="0" applyBorder="0" applyAlignment="0" applyProtection="0"/>
  </cellStyleXfs>
  <cellXfs count="119">
    <xf numFmtId="0" fontId="0" fillId="0" borderId="0" xfId="0"/>
    <xf numFmtId="0" fontId="5" fillId="0" borderId="0" xfId="3" applyFont="1"/>
    <xf numFmtId="0" fontId="11" fillId="0" borderId="0" xfId="0" applyFont="1"/>
    <xf numFmtId="0" fontId="10" fillId="0" borderId="0" xfId="0" applyFont="1"/>
    <xf numFmtId="0" fontId="12" fillId="2" borderId="0" xfId="0" applyFont="1" applyFill="1"/>
    <xf numFmtId="0" fontId="9" fillId="0" borderId="0" xfId="0" applyFont="1"/>
    <xf numFmtId="0" fontId="10" fillId="0" borderId="0" xfId="0" applyFont="1" applyAlignment="1">
      <alignment wrapText="1"/>
    </xf>
    <xf numFmtId="0" fontId="10" fillId="0" borderId="0" xfId="0" quotePrefix="1" applyFont="1"/>
    <xf numFmtId="0" fontId="12" fillId="4" borderId="1" xfId="0" applyFont="1" applyFill="1" applyBorder="1"/>
    <xf numFmtId="0" fontId="10" fillId="0" borderId="0" xfId="4" applyFont="1"/>
    <xf numFmtId="0" fontId="9" fillId="0" borderId="0" xfId="4" applyFont="1"/>
    <xf numFmtId="0" fontId="12" fillId="5" borderId="1" xfId="0" applyFont="1" applyFill="1" applyBorder="1"/>
    <xf numFmtId="0" fontId="10" fillId="0" borderId="0" xfId="0" applyFont="1" applyAlignment="1">
      <alignment horizontal="center"/>
    </xf>
    <xf numFmtId="0" fontId="12" fillId="2" borderId="0" xfId="0" applyFont="1" applyFill="1" applyAlignment="1">
      <alignment horizontal="center"/>
    </xf>
    <xf numFmtId="3" fontId="10" fillId="0" borderId="0" xfId="0" applyNumberFormat="1" applyFont="1" applyAlignment="1">
      <alignment horizontal="center"/>
    </xf>
    <xf numFmtId="44" fontId="10" fillId="3" borderId="0" xfId="1" applyFont="1" applyFill="1" applyAlignment="1">
      <alignment horizontal="center"/>
    </xf>
    <xf numFmtId="9" fontId="10" fillId="0" borderId="0" xfId="2" applyFont="1" applyAlignment="1">
      <alignment horizontal="center"/>
    </xf>
    <xf numFmtId="44" fontId="12" fillId="5" borderId="1" xfId="1" applyFont="1" applyFill="1" applyBorder="1" applyAlignment="1">
      <alignment horizontal="center"/>
    </xf>
    <xf numFmtId="3" fontId="9" fillId="0" borderId="0" xfId="0" applyNumberFormat="1" applyFont="1" applyAlignment="1">
      <alignment horizontal="center"/>
    </xf>
    <xf numFmtId="166" fontId="12" fillId="4" borderId="1" xfId="7" applyNumberFormat="1" applyFont="1" applyFill="1" applyBorder="1" applyAlignment="1">
      <alignment horizontal="center"/>
    </xf>
    <xf numFmtId="167" fontId="9" fillId="0" borderId="0" xfId="7" applyNumberFormat="1" applyFont="1" applyFill="1" applyBorder="1" applyAlignment="1">
      <alignment horizontal="center"/>
    </xf>
    <xf numFmtId="167" fontId="10" fillId="0" borderId="0" xfId="7" applyNumberFormat="1" applyFont="1" applyAlignment="1">
      <alignment horizontal="center"/>
    </xf>
    <xf numFmtId="44" fontId="10" fillId="0" borderId="0" xfId="1" applyFont="1" applyFill="1" applyAlignment="1">
      <alignment horizontal="center"/>
    </xf>
    <xf numFmtId="44" fontId="9" fillId="0" borderId="0" xfId="0" applyNumberFormat="1" applyFont="1" applyAlignment="1">
      <alignment horizontal="center"/>
    </xf>
    <xf numFmtId="44" fontId="12" fillId="4" borderId="1" xfId="1" applyFont="1" applyFill="1" applyBorder="1" applyAlignment="1">
      <alignment horizontal="center"/>
    </xf>
    <xf numFmtId="0" fontId="8" fillId="0" borderId="0" xfId="3" applyFont="1"/>
    <xf numFmtId="44" fontId="10" fillId="0" borderId="0" xfId="1" applyFont="1" applyFill="1" applyAlignment="1">
      <alignment horizontal="right"/>
    </xf>
    <xf numFmtId="44" fontId="9" fillId="0" borderId="0" xfId="1" applyFont="1" applyFill="1" applyAlignment="1">
      <alignment horizontal="right"/>
    </xf>
    <xf numFmtId="0" fontId="11" fillId="0" borderId="0" xfId="3" applyFont="1" applyAlignment="1">
      <alignment horizontal="left" vertical="center" wrapText="1"/>
    </xf>
    <xf numFmtId="0" fontId="11" fillId="0" borderId="0" xfId="3" applyFont="1" applyAlignment="1">
      <alignment horizontal="left" vertical="center"/>
    </xf>
    <xf numFmtId="0" fontId="12" fillId="0" borderId="0" xfId="0" applyFont="1"/>
    <xf numFmtId="0" fontId="12" fillId="0" borderId="0" xfId="0" applyFont="1" applyAlignment="1">
      <alignment horizontal="center"/>
    </xf>
    <xf numFmtId="44" fontId="10" fillId="0" borderId="0" xfId="1" applyFont="1" applyFill="1" applyBorder="1"/>
    <xf numFmtId="44" fontId="9" fillId="0" borderId="0" xfId="1" applyFont="1" applyFill="1" applyBorder="1"/>
    <xf numFmtId="0" fontId="12" fillId="2" borderId="0" xfId="4" applyFont="1" applyFill="1"/>
    <xf numFmtId="44" fontId="12" fillId="2" borderId="0" xfId="1" applyFont="1" applyFill="1" applyAlignment="1">
      <alignment horizontal="right"/>
    </xf>
    <xf numFmtId="0" fontId="13" fillId="2" borderId="0" xfId="3" applyFont="1" applyFill="1"/>
    <xf numFmtId="0" fontId="10" fillId="0" borderId="0" xfId="4" applyFont="1" applyAlignment="1">
      <alignment horizontal="left" vertical="center"/>
    </xf>
    <xf numFmtId="9" fontId="10" fillId="0" borderId="0" xfId="6" applyFont="1" applyFill="1" applyBorder="1" applyAlignment="1">
      <alignment horizontal="right" vertical="center"/>
    </xf>
    <xf numFmtId="164" fontId="10" fillId="0" borderId="0" xfId="5" applyNumberFormat="1" applyFont="1" applyFill="1" applyBorder="1" applyAlignment="1">
      <alignment horizontal="right" vertical="center"/>
    </xf>
    <xf numFmtId="37" fontId="10" fillId="0" borderId="0" xfId="5" applyNumberFormat="1" applyFont="1" applyFill="1" applyAlignment="1">
      <alignment horizontal="right" vertical="center"/>
    </xf>
    <xf numFmtId="164" fontId="9" fillId="0" borderId="0" xfId="5" applyNumberFormat="1" applyFont="1" applyFill="1" applyAlignment="1">
      <alignment horizontal="right" vertical="center"/>
    </xf>
    <xf numFmtId="9" fontId="9" fillId="0" borderId="0" xfId="6" applyFont="1" applyFill="1" applyAlignment="1">
      <alignment horizontal="right" vertical="center"/>
    </xf>
    <xf numFmtId="9" fontId="10" fillId="3" borderId="0" xfId="6" applyFont="1" applyFill="1" applyBorder="1" applyAlignment="1">
      <alignment horizontal="right" vertical="center"/>
    </xf>
    <xf numFmtId="0" fontId="3" fillId="0" borderId="0" xfId="0" applyFont="1"/>
    <xf numFmtId="0" fontId="3" fillId="6" borderId="4" xfId="0" applyFont="1" applyFill="1" applyBorder="1" applyAlignment="1">
      <alignment wrapText="1"/>
    </xf>
    <xf numFmtId="0" fontId="3" fillId="6" borderId="5" xfId="0" applyFont="1" applyFill="1" applyBorder="1" applyAlignment="1">
      <alignment wrapText="1"/>
    </xf>
    <xf numFmtId="0" fontId="2" fillId="6" borderId="3" xfId="0" applyFont="1" applyFill="1" applyBorder="1" applyAlignment="1">
      <alignment wrapText="1"/>
    </xf>
    <xf numFmtId="0" fontId="3" fillId="3" borderId="4" xfId="0" applyFont="1" applyFill="1" applyBorder="1" applyAlignment="1">
      <alignment wrapText="1"/>
    </xf>
    <xf numFmtId="0" fontId="3" fillId="0" borderId="0" xfId="0" applyFont="1" applyAlignment="1">
      <alignment wrapText="1"/>
    </xf>
    <xf numFmtId="0" fontId="9" fillId="0" borderId="0" xfId="0" applyFont="1" applyAlignment="1">
      <alignment wrapText="1"/>
    </xf>
    <xf numFmtId="0" fontId="10" fillId="0" borderId="6" xfId="0" applyFont="1" applyBorder="1" applyAlignment="1">
      <alignment horizontal="center"/>
    </xf>
    <xf numFmtId="0" fontId="12" fillId="2" borderId="6" xfId="0" applyFont="1" applyFill="1" applyBorder="1" applyAlignment="1">
      <alignment horizontal="center"/>
    </xf>
    <xf numFmtId="44" fontId="9" fillId="0" borderId="6" xfId="0" applyNumberFormat="1" applyFont="1" applyBorder="1" applyAlignment="1">
      <alignment horizontal="center"/>
    </xf>
    <xf numFmtId="44" fontId="12" fillId="5" borderId="7" xfId="1" applyFont="1" applyFill="1" applyBorder="1" applyAlignment="1">
      <alignment horizontal="center"/>
    </xf>
    <xf numFmtId="44" fontId="12" fillId="4" borderId="7" xfId="1" applyFont="1" applyFill="1" applyBorder="1" applyAlignment="1">
      <alignment horizontal="center"/>
    </xf>
    <xf numFmtId="0" fontId="9" fillId="0" borderId="0" xfId="4" applyFont="1" applyAlignment="1">
      <alignment horizontal="left" vertical="center"/>
    </xf>
    <xf numFmtId="9" fontId="12" fillId="4" borderId="1" xfId="1" applyNumberFormat="1" applyFont="1" applyFill="1" applyBorder="1" applyAlignment="1">
      <alignment horizontal="right" vertical="center"/>
    </xf>
    <xf numFmtId="2" fontId="12" fillId="4" borderId="1" xfId="1" applyNumberFormat="1" applyFont="1" applyFill="1" applyBorder="1" applyAlignment="1">
      <alignment horizontal="right" vertical="center"/>
    </xf>
    <xf numFmtId="44" fontId="10" fillId="0" borderId="0" xfId="1" applyFont="1" applyFill="1" applyBorder="1" applyAlignment="1">
      <alignment horizontal="right"/>
    </xf>
    <xf numFmtId="0" fontId="9" fillId="0" borderId="0" xfId="4" applyFont="1" applyAlignment="1">
      <alignment vertical="center"/>
    </xf>
    <xf numFmtId="9" fontId="12" fillId="4" borderId="1" xfId="6" applyFont="1" applyFill="1" applyBorder="1" applyAlignment="1">
      <alignment horizontal="right" vertical="center"/>
    </xf>
    <xf numFmtId="6" fontId="12" fillId="4" borderId="1" xfId="1" applyNumberFormat="1" applyFont="1" applyFill="1" applyBorder="1" applyAlignment="1">
      <alignment horizontal="right" vertical="center"/>
    </xf>
    <xf numFmtId="0" fontId="9" fillId="0" borderId="0" xfId="3" applyFont="1" applyAlignment="1">
      <alignment vertical="center"/>
    </xf>
    <xf numFmtId="44" fontId="10" fillId="3" borderId="0" xfId="1" applyFont="1" applyFill="1" applyAlignment="1">
      <alignment horizontal="right"/>
    </xf>
    <xf numFmtId="0" fontId="10" fillId="0" borderId="0" xfId="3" applyFont="1" applyAlignment="1">
      <alignment vertical="center"/>
    </xf>
    <xf numFmtId="0" fontId="10" fillId="0" borderId="0" xfId="3" applyFont="1" applyAlignment="1">
      <alignment vertical="center" wrapText="1"/>
    </xf>
    <xf numFmtId="168" fontId="12" fillId="4" borderId="1" xfId="1" applyNumberFormat="1" applyFont="1" applyFill="1" applyBorder="1" applyAlignment="1">
      <alignment horizontal="right" vertical="center"/>
    </xf>
    <xf numFmtId="0" fontId="3" fillId="6" borderId="0" xfId="0" applyFont="1" applyFill="1" applyAlignment="1">
      <alignment vertical="center" wrapText="1"/>
    </xf>
    <xf numFmtId="0" fontId="9" fillId="7" borderId="0" xfId="0" applyFont="1" applyFill="1" applyAlignment="1">
      <alignment vertical="top"/>
    </xf>
    <xf numFmtId="0" fontId="10" fillId="7" borderId="0" xfId="0" applyFont="1" applyFill="1" applyAlignment="1">
      <alignment vertical="top"/>
    </xf>
    <xf numFmtId="0" fontId="9" fillId="8" borderId="8" xfId="0" applyFont="1" applyFill="1" applyBorder="1" applyAlignment="1">
      <alignment vertical="center" wrapText="1"/>
    </xf>
    <xf numFmtId="0" fontId="9" fillId="8" borderId="9" xfId="0" applyFont="1" applyFill="1" applyBorder="1" applyAlignment="1">
      <alignment vertical="center" wrapText="1"/>
    </xf>
    <xf numFmtId="0" fontId="10" fillId="9" borderId="5" xfId="0" applyFont="1" applyFill="1" applyBorder="1" applyAlignment="1">
      <alignment vertical="center" wrapText="1"/>
    </xf>
    <xf numFmtId="0" fontId="10" fillId="9" borderId="2" xfId="0" applyFont="1" applyFill="1" applyBorder="1" applyAlignment="1">
      <alignment vertical="center" wrapText="1"/>
    </xf>
    <xf numFmtId="0" fontId="2" fillId="6" borderId="10" xfId="0" applyFont="1" applyFill="1" applyBorder="1" applyAlignment="1">
      <alignment vertical="center" wrapText="1"/>
    </xf>
    <xf numFmtId="0" fontId="3" fillId="0" borderId="11" xfId="0" applyFont="1" applyBorder="1"/>
    <xf numFmtId="0" fontId="3" fillId="0" borderId="12" xfId="0" applyFont="1" applyBorder="1"/>
    <xf numFmtId="0" fontId="9" fillId="0" borderId="1" xfId="0" applyFont="1" applyBorder="1"/>
    <xf numFmtId="44" fontId="9" fillId="0" borderId="1" xfId="7" applyNumberFormat="1" applyFont="1" applyFill="1" applyBorder="1"/>
    <xf numFmtId="0" fontId="15" fillId="0" borderId="0" xfId="3" applyFont="1"/>
    <xf numFmtId="0" fontId="2" fillId="10" borderId="8" xfId="8" applyFont="1" applyFill="1" applyBorder="1" applyAlignment="1">
      <alignment vertical="center"/>
    </xf>
    <xf numFmtId="0" fontId="3" fillId="6" borderId="3" xfId="8" applyFont="1" applyFill="1" applyBorder="1" applyAlignment="1" applyProtection="1">
      <alignment vertical="center" wrapText="1"/>
      <protection locked="0"/>
    </xf>
    <xf numFmtId="0" fontId="3" fillId="6" borderId="8" xfId="8" applyFont="1" applyFill="1" applyBorder="1" applyAlignment="1" applyProtection="1">
      <alignment vertical="center"/>
      <protection locked="0"/>
    </xf>
    <xf numFmtId="169" fontId="3" fillId="6" borderId="8" xfId="8" applyNumberFormat="1" applyFont="1" applyFill="1" applyBorder="1" applyAlignment="1" applyProtection="1">
      <alignment horizontal="left" vertical="center"/>
      <protection locked="0"/>
    </xf>
    <xf numFmtId="15" fontId="3" fillId="6" borderId="8" xfId="8" applyNumberFormat="1" applyFont="1" applyFill="1" applyBorder="1" applyAlignment="1" applyProtection="1">
      <alignment horizontal="left" vertical="center"/>
      <protection locked="0"/>
    </xf>
    <xf numFmtId="0" fontId="2" fillId="10" borderId="3" xfId="8" applyFont="1" applyFill="1" applyBorder="1" applyAlignment="1">
      <alignment vertical="center" wrapText="1"/>
    </xf>
    <xf numFmtId="0" fontId="3" fillId="6" borderId="8" xfId="8" applyFont="1" applyFill="1" applyBorder="1" applyAlignment="1" applyProtection="1">
      <alignment vertical="center" wrapText="1"/>
      <protection locked="0"/>
    </xf>
    <xf numFmtId="0" fontId="2" fillId="10" borderId="8" xfId="8" applyFont="1" applyFill="1" applyBorder="1" applyAlignment="1">
      <alignment vertical="center" wrapText="1"/>
    </xf>
    <xf numFmtId="9" fontId="10" fillId="3" borderId="0" xfId="2" applyFont="1" applyFill="1" applyAlignment="1">
      <alignment horizontal="center"/>
    </xf>
    <xf numFmtId="0" fontId="3" fillId="6" borderId="13" xfId="0" applyFont="1" applyFill="1" applyBorder="1" applyAlignment="1">
      <alignment horizontal="left" vertical="center" wrapText="1"/>
    </xf>
    <xf numFmtId="0" fontId="3" fillId="6" borderId="14" xfId="0" applyFont="1" applyFill="1" applyBorder="1" applyAlignment="1">
      <alignment horizontal="left" vertical="center" wrapText="1"/>
    </xf>
    <xf numFmtId="0" fontId="3" fillId="6" borderId="15" xfId="0" applyFont="1" applyFill="1" applyBorder="1" applyAlignment="1">
      <alignment horizontal="left" vertical="center" wrapText="1"/>
    </xf>
    <xf numFmtId="0" fontId="14" fillId="2" borderId="16" xfId="8" applyFont="1" applyFill="1" applyBorder="1" applyAlignment="1">
      <alignment horizontal="center" vertical="top"/>
    </xf>
    <xf numFmtId="0" fontId="14" fillId="2" borderId="17" xfId="8" applyFont="1" applyFill="1" applyBorder="1" applyAlignment="1">
      <alignment horizontal="center" vertical="top"/>
    </xf>
    <xf numFmtId="0" fontId="3" fillId="10" borderId="18" xfId="8" applyFont="1" applyFill="1" applyBorder="1" applyAlignment="1" applyProtection="1">
      <alignment horizontal="left" vertical="center" wrapText="1"/>
      <protection locked="0"/>
    </xf>
    <xf numFmtId="0" fontId="3" fillId="10" borderId="19" xfId="8" applyFont="1" applyFill="1" applyBorder="1" applyAlignment="1" applyProtection="1">
      <alignment horizontal="left" vertical="center" wrapText="1"/>
      <protection locked="0"/>
    </xf>
    <xf numFmtId="0" fontId="3" fillId="10" borderId="20" xfId="8" applyFont="1" applyFill="1" applyBorder="1" applyAlignment="1" applyProtection="1">
      <alignment horizontal="left" vertical="center" wrapText="1"/>
      <protection locked="0"/>
    </xf>
    <xf numFmtId="0" fontId="3" fillId="10" borderId="21" xfId="8" applyFont="1" applyFill="1" applyBorder="1" applyAlignment="1" applyProtection="1">
      <alignment horizontal="left" vertical="center" wrapText="1"/>
      <protection locked="0"/>
    </xf>
    <xf numFmtId="0" fontId="3" fillId="10" borderId="22" xfId="8" applyFont="1" applyFill="1" applyBorder="1" applyAlignment="1" applyProtection="1">
      <alignment horizontal="left" vertical="center" wrapText="1"/>
      <protection locked="0"/>
    </xf>
    <xf numFmtId="0" fontId="3" fillId="10" borderId="2" xfId="8" applyFont="1" applyFill="1" applyBorder="1" applyAlignment="1" applyProtection="1">
      <alignment horizontal="left" vertical="center" wrapText="1"/>
      <protection locked="0"/>
    </xf>
    <xf numFmtId="37" fontId="10" fillId="0" borderId="0" xfId="5" applyNumberFormat="1" applyFont="1" applyFill="1" applyAlignment="1">
      <alignment horizontal="left" vertical="center" wrapText="1"/>
    </xf>
    <xf numFmtId="0" fontId="9" fillId="10" borderId="18" xfId="0" applyFont="1" applyFill="1" applyBorder="1" applyAlignment="1">
      <alignment horizontal="center" vertical="center"/>
    </xf>
    <xf numFmtId="0" fontId="9" fillId="10" borderId="23" xfId="0" applyFont="1" applyFill="1" applyBorder="1" applyAlignment="1">
      <alignment horizontal="center" vertical="center" wrapText="1"/>
    </xf>
    <xf numFmtId="0" fontId="9" fillId="10" borderId="23" xfId="0" applyFont="1" applyFill="1" applyBorder="1" applyAlignment="1">
      <alignment horizontal="center" vertical="center"/>
    </xf>
    <xf numFmtId="0" fontId="9" fillId="10" borderId="19" xfId="0" applyFont="1" applyFill="1" applyBorder="1" applyAlignment="1">
      <alignment horizontal="center" vertical="center"/>
    </xf>
    <xf numFmtId="170" fontId="10" fillId="3" borderId="20" xfId="2" applyNumberFormat="1" applyFont="1" applyFill="1" applyBorder="1" applyAlignment="1">
      <alignment horizontal="center"/>
    </xf>
    <xf numFmtId="9" fontId="5" fillId="3" borderId="0" xfId="3" applyNumberFormat="1" applyFont="1" applyFill="1" applyBorder="1" applyAlignment="1">
      <alignment horizontal="center"/>
    </xf>
    <xf numFmtId="171" fontId="10" fillId="3" borderId="0" xfId="9" applyNumberFormat="1" applyFont="1" applyFill="1" applyBorder="1" applyAlignment="1"/>
    <xf numFmtId="44" fontId="10" fillId="3" borderId="0" xfId="1" applyFont="1" applyFill="1" applyBorder="1" applyAlignment="1">
      <alignment horizontal="right"/>
    </xf>
    <xf numFmtId="5" fontId="10" fillId="0" borderId="21" xfId="0" applyNumberFormat="1" applyFont="1" applyFill="1" applyBorder="1" applyAlignment="1">
      <alignment horizontal="right"/>
    </xf>
    <xf numFmtId="9" fontId="5" fillId="0" borderId="0" xfId="3" applyNumberFormat="1" applyFont="1" applyBorder="1" applyAlignment="1">
      <alignment horizontal="center"/>
    </xf>
    <xf numFmtId="171" fontId="10" fillId="0" borderId="0" xfId="9" applyNumberFormat="1" applyFont="1" applyFill="1" applyBorder="1" applyAlignment="1"/>
    <xf numFmtId="9" fontId="10" fillId="0" borderId="21" xfId="2" applyFont="1" applyFill="1" applyBorder="1"/>
    <xf numFmtId="170" fontId="10" fillId="3" borderId="22" xfId="2" applyNumberFormat="1" applyFont="1" applyFill="1" applyBorder="1" applyAlignment="1">
      <alignment horizontal="center"/>
    </xf>
    <xf numFmtId="9" fontId="5" fillId="0" borderId="24" xfId="3" applyNumberFormat="1" applyFont="1" applyBorder="1" applyAlignment="1">
      <alignment horizontal="center"/>
    </xf>
    <xf numFmtId="171" fontId="10" fillId="0" borderId="24" xfId="9" applyNumberFormat="1" applyFont="1" applyFill="1" applyBorder="1" applyAlignment="1"/>
    <xf numFmtId="44" fontId="10" fillId="0" borderId="24" xfId="1" applyFont="1" applyFill="1" applyBorder="1" applyAlignment="1">
      <alignment horizontal="right"/>
    </xf>
    <xf numFmtId="9" fontId="10" fillId="0" borderId="2" xfId="2" applyFont="1" applyFill="1" applyBorder="1"/>
  </cellXfs>
  <cellStyles count="10">
    <cellStyle name="Comma" xfId="9" builtinId="3"/>
    <cellStyle name="Currency" xfId="1" builtinId="4"/>
    <cellStyle name="Currency 2" xfId="7" xr:uid="{E6719EDF-F930-BF45-A419-D2319EB82EDB}"/>
    <cellStyle name="Input Font" xfId="5" xr:uid="{57A2317B-E70B-4F40-A07C-34C8D3456F78}"/>
    <cellStyle name="Normal" xfId="0" builtinId="0"/>
    <cellStyle name="Normal 2" xfId="3" xr:uid="{6D187031-711C-BC4C-976B-3B4F45B5D983}"/>
    <cellStyle name="Normal 2 2" xfId="4" xr:uid="{7D60E943-A31F-EB46-862E-7E813DCAFE0A}"/>
    <cellStyle name="Normal 2 2 2" xfId="8" xr:uid="{0E36DE1A-F4C3-B24B-AB77-4F7A7DF3ADDF}"/>
    <cellStyle name="Percent" xfId="2" builtinId="5"/>
    <cellStyle name="Percent 2" xfId="6" xr:uid="{A03A3E88-BD53-324A-9C45-B046421101A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002060"/>
                </a:solidFill>
                <a:latin typeface="+mn-lt"/>
                <a:ea typeface="+mn-ea"/>
                <a:cs typeface="+mn-cs"/>
              </a:defRPr>
            </a:pPr>
            <a:r>
              <a:rPr lang="en-US" sz="1200">
                <a:solidFill>
                  <a:schemeClr val="bg1"/>
                </a:solidFill>
              </a:rPr>
              <a:t>Project cash flow</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002060"/>
              </a:solidFill>
              <a:latin typeface="+mn-lt"/>
              <a:ea typeface="+mn-ea"/>
              <a:cs typeface="+mn-cs"/>
            </a:defRPr>
          </a:pPr>
          <a:endParaRPr lang="en-US"/>
        </a:p>
      </c:txPr>
    </c:title>
    <c:autoTitleDeleted val="0"/>
    <c:plotArea>
      <c:layout/>
      <c:barChart>
        <c:barDir val="col"/>
        <c:grouping val="clustered"/>
        <c:varyColors val="0"/>
        <c:ser>
          <c:idx val="9"/>
          <c:order val="0"/>
          <c:spPr>
            <a:solidFill>
              <a:schemeClr val="accent1"/>
            </a:solidFill>
            <a:ln>
              <a:noFill/>
            </a:ln>
            <a:effectLst/>
          </c:spPr>
          <c:invertIfNegative val="0"/>
          <c:dLbls>
            <c:numFmt formatCode="&quot;$&quot;#,##0.00_);\(&quot;$&quot;#,##0.0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'Project financials'!$C$4:$H$4</c:f>
              <c:strCache>
                <c:ptCount val="6"/>
                <c:pt idx="0">
                  <c:v>Entry</c:v>
                </c:pt>
                <c:pt idx="1">
                  <c:v>Year 1</c:v>
                </c:pt>
                <c:pt idx="2">
                  <c:v>Year 2</c:v>
                </c:pt>
                <c:pt idx="3">
                  <c:v>Year 3</c:v>
                </c:pt>
                <c:pt idx="4">
                  <c:v>Year 4</c:v>
                </c:pt>
                <c:pt idx="5">
                  <c:v>Year 5</c:v>
                </c:pt>
              </c:strCache>
            </c:strRef>
          </c:cat>
          <c:val>
            <c:numRef>
              <c:f>'Project financials'!$C$14:$H$14</c:f>
              <c:numCache>
                <c:formatCode>_("$"* #,##0.00_);_("$"* \(#,##0.00\);_("$"* "-"??_);_(@_)</c:formatCode>
                <c:ptCount val="6"/>
                <c:pt idx="0">
                  <c:v>-1055000</c:v>
                </c:pt>
                <c:pt idx="1">
                  <c:v>369000</c:v>
                </c:pt>
                <c:pt idx="2">
                  <c:v>604000</c:v>
                </c:pt>
                <c:pt idx="3">
                  <c:v>581000</c:v>
                </c:pt>
                <c:pt idx="4">
                  <c:v>552000</c:v>
                </c:pt>
                <c:pt idx="5">
                  <c:v>479000</c:v>
                </c:pt>
              </c:numCache>
            </c:numRef>
          </c:val>
          <c:extLst>
            <c:ext xmlns:c16="http://schemas.microsoft.com/office/drawing/2014/chart" uri="{C3380CC4-5D6E-409C-BE32-E72D297353CC}">
              <c16:uniqueId val="{00000009-01B6-3144-B070-71B2F5BFC4E8}"/>
            </c:ext>
          </c:extLst>
        </c:ser>
        <c:dLbls>
          <c:showLegendKey val="0"/>
          <c:showVal val="0"/>
          <c:showCatName val="0"/>
          <c:showSerName val="0"/>
          <c:showPercent val="0"/>
          <c:showBubbleSize val="0"/>
        </c:dLbls>
        <c:gapWidth val="219"/>
        <c:overlap val="-27"/>
        <c:axId val="1256614352"/>
        <c:axId val="1505488960"/>
      </c:barChart>
      <c:catAx>
        <c:axId val="1256614352"/>
        <c:scaling>
          <c:orientation val="minMax"/>
        </c:scaling>
        <c:delete val="0"/>
        <c:axPos val="b"/>
        <c:numFmt formatCode="General" sourceLinked="1"/>
        <c:majorTickMark val="none"/>
        <c:minorTickMark val="none"/>
        <c:tickLblPos val="nextTo"/>
        <c:spPr>
          <a:noFill/>
          <a:ln w="9525" cap="flat" cmpd="sng" algn="ctr">
            <a:solidFill>
              <a:schemeClr val="bg1"/>
            </a:solidFill>
            <a:round/>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1505488960"/>
        <c:crosses val="autoZero"/>
        <c:auto val="1"/>
        <c:lblAlgn val="ctr"/>
        <c:lblOffset val="100"/>
        <c:noMultiLvlLbl val="0"/>
      </c:catAx>
      <c:valAx>
        <c:axId val="1505488960"/>
        <c:scaling>
          <c:orientation val="minMax"/>
        </c:scaling>
        <c:delete val="0"/>
        <c:axPos val="l"/>
        <c:numFmt formatCode="&quot;$&quot;#,##0_);\(&quot;$&quot;#,##0\)" sourceLinked="0"/>
        <c:majorTickMark val="none"/>
        <c:minorTickMark val="none"/>
        <c:tickLblPos val="nextTo"/>
        <c:spPr>
          <a:noFill/>
          <a:ln>
            <a:solidFill>
              <a:schemeClr val="bg1"/>
            </a:solidFill>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1256614352"/>
        <c:crosses val="autoZero"/>
        <c:crossBetween val="between"/>
      </c:valAx>
      <c:spPr>
        <a:noFill/>
        <a:ln>
          <a:noFill/>
        </a:ln>
        <a:effectLst/>
      </c:spPr>
    </c:plotArea>
    <c:plotVisOnly val="1"/>
    <c:dispBlanksAs val="gap"/>
    <c:showDLblsOverMax val="0"/>
  </c:chart>
  <c:spPr>
    <a:solidFill>
      <a:schemeClr val="tx1">
        <a:lumMod val="95000"/>
      </a:schemeClr>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444576</xdr:colOff>
      <xdr:row>37</xdr:row>
      <xdr:rowOff>95129</xdr:rowOff>
    </xdr:from>
    <xdr:to>
      <xdr:col>5</xdr:col>
      <xdr:colOff>743322</xdr:colOff>
      <xdr:row>65</xdr:row>
      <xdr:rowOff>122241</xdr:rowOff>
    </xdr:to>
    <xdr:graphicFrame macro="">
      <xdr:nvGraphicFramePr>
        <xdr:cNvPr id="2" name="Chart 1">
          <a:extLst>
            <a:ext uri="{FF2B5EF4-FFF2-40B4-BE49-F238E27FC236}">
              <a16:creationId xmlns:a16="http://schemas.microsoft.com/office/drawing/2014/main" id="{7E5DAA33-F063-C541-AEAE-A296CE4858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Slideworks">
  <a:themeElements>
    <a:clrScheme name="Slideworks">
      <a:dk1>
        <a:srgbClr val="FFFFFF"/>
      </a:dk1>
      <a:lt1>
        <a:srgbClr val="061F32"/>
      </a:lt1>
      <a:dk2>
        <a:srgbClr val="000000"/>
      </a:dk2>
      <a:lt2>
        <a:srgbClr val="000000"/>
      </a:lt2>
      <a:accent1>
        <a:srgbClr val="22A3DF"/>
      </a:accent1>
      <a:accent2>
        <a:srgbClr val="3478AB"/>
      </a:accent2>
      <a:accent3>
        <a:srgbClr val="1D4769"/>
      </a:accent3>
      <a:accent4>
        <a:srgbClr val="061F32"/>
      </a:accent4>
      <a:accent5>
        <a:srgbClr val="2222F6"/>
      </a:accent5>
      <a:accent6>
        <a:srgbClr val="F8BC3B"/>
      </a:accent6>
      <a:hlink>
        <a:srgbClr val="3478AB"/>
      </a:hlink>
      <a:folHlink>
        <a:srgbClr val="8B78AB"/>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Subtle Solids">
      <a:fillStyleLst>
        <a:solidFill>
          <a:schemeClr val="phClr"/>
        </a:solidFill>
        <a:solidFill>
          <a:schemeClr val="phClr">
            <a:tint val="65000"/>
          </a:schemeClr>
        </a:solidFill>
        <a:solidFill>
          <a:schemeClr val="phClr">
            <a:shade val="80000"/>
            <a:satMod val="150000"/>
          </a:schemeClr>
        </a:solidFill>
      </a:fillStyleLst>
      <a:lnStyleLst>
        <a:ln w="9525" cap="flat" cmpd="sng" algn="ctr">
          <a:solidFill>
            <a:schemeClr val="phClr"/>
          </a:solidFill>
          <a:prstDash val="solid"/>
        </a:ln>
        <a:ln w="10795" cap="flat" cmpd="sng" algn="ctr">
          <a:solidFill>
            <a:schemeClr val="phClr"/>
          </a:solidFill>
          <a:prstDash val="solid"/>
        </a:ln>
        <a:ln w="17145" cap="flat" cmpd="sng" algn="ctr">
          <a:solidFill>
            <a:schemeClr val="phClr">
              <a:shade val="95000"/>
              <a:alpha val="50000"/>
              <a:satMod val="150000"/>
            </a:schemeClr>
          </a:solidFill>
          <a:prstDash val="solid"/>
        </a:ln>
      </a:lnStyleLst>
      <a:effectStyleLst>
        <a:effectStyle>
          <a:effectLst/>
        </a:effectStyle>
        <a:effectStyle>
          <a:effectLst/>
        </a:effectStyle>
        <a:effectStyle>
          <a:effectLst>
            <a:outerShdw blurRad="44450" dist="13970" dir="5400000" algn="ctr" rotWithShape="0">
              <a:srgbClr val="000000">
                <a:alpha val="45000"/>
              </a:srgbClr>
            </a:outerShdw>
          </a:effectLst>
          <a:scene3d>
            <a:camera prst="orthographicFront">
              <a:rot lat="0" lon="0" rev="0"/>
            </a:camera>
            <a:lightRig rig="twoPt" dir="tl"/>
          </a:scene3d>
          <a:sp3d prstMaterial="flat">
            <a:bevelT w="12700" h="25400" prst="coolSlant"/>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accent1"/>
        </a:solidFill>
        <a:ln w="6350" cap="sq">
          <a:noFill/>
          <a:miter lim="800000"/>
        </a:ln>
      </a:spPr>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lgn="ctr">
          <a:spcBef>
            <a:spcPts val="300"/>
          </a:spcBef>
          <a:spcAft>
            <a:spcPts val="300"/>
          </a:spcAft>
          <a:defRPr sz="1600" dirty="0" err="1">
            <a:solidFill>
              <a:schemeClr val="bg1"/>
            </a:solidFill>
          </a:defRPr>
        </a:defPPr>
      </a:lstStyle>
      <a:style>
        <a:lnRef idx="2">
          <a:schemeClr val="accent1">
            <a:shade val="50000"/>
          </a:schemeClr>
        </a:lnRef>
        <a:fillRef idx="1">
          <a:schemeClr val="accent1"/>
        </a:fillRef>
        <a:effectRef idx="0">
          <a:schemeClr val="accent1"/>
        </a:effectRef>
        <a:fontRef idx="minor">
          <a:schemeClr val="lt1"/>
        </a:fontRef>
      </a:style>
    </a:spDef>
    <a:lnDef>
      <a:spPr>
        <a:ln w="6350" cap="sq">
          <a:solidFill>
            <a:srgbClr val="000000"/>
          </a:solidFill>
          <a:miter lim="800000"/>
          <a:tailEnd type="none"/>
        </a:ln>
      </a:spPr>
      <a:bodyPr/>
      <a:lstStyle/>
      <a:style>
        <a:lnRef idx="1">
          <a:schemeClr val="accent1"/>
        </a:lnRef>
        <a:fillRef idx="0">
          <a:schemeClr val="accent1"/>
        </a:fillRef>
        <a:effectRef idx="0">
          <a:schemeClr val="accent1"/>
        </a:effectRef>
        <a:fontRef idx="minor">
          <a:schemeClr val="tx1"/>
        </a:fontRef>
      </a:style>
    </a:lnDef>
    <a:txDef>
      <a:spPr>
        <a:ln w="6350">
          <a:noFill/>
          <a:miter lim="800000"/>
        </a:ln>
      </a:spPr>
      <a:bodyPr vert="horz" wrap="square" lIns="0" tIns="0" rIns="0" bIns="0" rtlCol="0">
        <a:noAutofit/>
      </a:bodyPr>
      <a:lstStyle>
        <a:defPPr algn="l">
          <a:spcBef>
            <a:spcPts val="300"/>
          </a:spcBef>
          <a:spcAft>
            <a:spcPts val="300"/>
          </a:spcAft>
          <a:buNone/>
          <a:defRPr sz="1600" dirty="0" smtClean="0"/>
        </a:defPPr>
      </a:lstStyle>
    </a:txDef>
  </a:objectDefaults>
  <a:extraClrSchemeLst>
    <a:extraClrScheme>
      <a:clrScheme name="Scheme White">
        <a:dk1>
          <a:srgbClr val="000000"/>
        </a:dk1>
        <a:lt1>
          <a:srgbClr val="FFFFFF"/>
        </a:lt1>
        <a:dk2>
          <a:srgbClr val="FFFFFF"/>
        </a:dk2>
        <a:lt2>
          <a:srgbClr val="FFFFFF"/>
        </a:lt2>
        <a:accent1>
          <a:srgbClr val="051C2C"/>
        </a:accent1>
        <a:accent2>
          <a:srgbClr val="00A9F4"/>
        </a:accent2>
        <a:accent3>
          <a:srgbClr val="1F40E6"/>
        </a:accent3>
        <a:accent4>
          <a:srgbClr val="AAE6F0"/>
        </a:accent4>
        <a:accent5>
          <a:srgbClr val="3C96B4"/>
        </a:accent5>
        <a:accent6>
          <a:srgbClr val="AFC3FF"/>
        </a:accent6>
        <a:hlink>
          <a:srgbClr val="1F40E6"/>
        </a:hlink>
        <a:folHlink>
          <a:srgbClr val="8C5AC8"/>
        </a:folHlink>
      </a:clrScheme>
    </a:extraClrScheme>
  </a:extraClrSchemeLst>
  <a:custClrLst>
    <a:custClr name="Deep Blue">
      <a:srgbClr val="051C2C"/>
    </a:custClr>
    <a:custClr name="Cyan">
      <a:srgbClr val="00A9F4"/>
    </a:custClr>
    <a:custClr name="Electric Blue">
      <a:srgbClr val="1F40E6"/>
    </a:custClr>
    <a:custClr name="Pale Blue">
      <a:srgbClr val="AAE6F0"/>
    </a:custClr>
    <a:custClr name="Turquoise">
      <a:srgbClr val="3C96B4"/>
    </a:custClr>
    <a:custClr name="Pale Electric Blue">
      <a:srgbClr val="AFC3FF"/>
    </a:custClr>
    <a:custClr name="Purple">
      <a:srgbClr val="8C5AC8"/>
    </a:custClr>
    <a:custClr name="Pink">
      <a:srgbClr val="E6A0C8"/>
    </a:custClr>
    <a:custClr name="Red">
      <a:srgbClr val="E5546C"/>
    </a:custClr>
    <a:custClr name="Orange">
      <a:srgbClr val="FAA082"/>
    </a:custClr>
    <a:custClr name="Dark Gray">
      <a:srgbClr val="4D4D4D"/>
    </a:custClr>
    <a:custClr name="Mid Gray">
      <a:srgbClr val="7F7F7F"/>
    </a:custClr>
    <a:custClr name="Light Gray">
      <a:srgbClr val="B3B3B3"/>
    </a:custClr>
    <a:custClr name="Super Light Gray">
      <a:srgbClr val="D0D0D0"/>
    </a:custClr>
    <a:custClr name="Pale Gray">
      <a:srgbClr val="E6E6E6"/>
    </a:custClr>
    <a:custClr name="Null">
      <a:srgbClr val="FFFFFF"/>
    </a:custClr>
    <a:custClr name="Null">
      <a:srgbClr val="FFFFFF"/>
    </a:custClr>
    <a:custClr name="Null">
      <a:srgbClr val="FFFFFF"/>
    </a:custClr>
    <a:custClr name="Null">
      <a:srgbClr val="FFFFFF"/>
    </a:custClr>
    <a:custClr name="Null">
      <a:srgbClr val="FFFFFF"/>
    </a:custClr>
    <a:custClr name="Linear 1 (Deep Blue)">
      <a:srgbClr val="051C2C"/>
    </a:custClr>
    <a:custClr name="Linear 2">
      <a:srgbClr val="034B6F"/>
    </a:custClr>
    <a:custClr name="Linear 3">
      <a:srgbClr val="027AB1"/>
    </a:custClr>
    <a:custClr name="Linear 4 (Cyan)">
      <a:srgbClr val="00A9F4"/>
    </a:custClr>
    <a:custClr name="Linear 5">
      <a:srgbClr val="39BDF3"/>
    </a:custClr>
    <a:custClr name="Linear 6">
      <a:srgbClr val="71D2F1"/>
    </a:custClr>
    <a:custClr name="Linear 7 (Pale Blue)">
      <a:srgbClr val="AAE6F0"/>
    </a:custClr>
    <a:custClr name="Null">
      <a:srgbClr val="FFFFFF"/>
    </a:custClr>
    <a:custClr name="Null">
      <a:srgbClr val="FFFFFF"/>
    </a:custClr>
    <a:custClr name="Null">
      <a:srgbClr val="FFFFFF"/>
    </a:custClr>
  </a:custClrLst>
  <a:extLst>
    <a:ext uri="{05A4C25C-085E-4340-85A3-A5531E510DB2}">
      <thm15:themeFamily xmlns:thm15="http://schemas.microsoft.com/office/thememl/2012/main" name="Slideworks" id="{E069DF23-800B-2147-8703-57BAD797A89F}" vid="{C4B098EE-F2FB-4F45-9BF5-C6412EFF7DD9}"/>
    </a:ext>
  </a:ext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88A9B-0EDD-C44F-8BD1-729249FE2B35}">
  <sheetPr>
    <tabColor theme="9" tint="0.79998168889431442"/>
  </sheetPr>
  <dimension ref="B1:E16"/>
  <sheetViews>
    <sheetView showGridLines="0" workbookViewId="0">
      <selection activeCell="B3" sqref="B3:E3"/>
    </sheetView>
  </sheetViews>
  <sheetFormatPr baseColWidth="10" defaultRowHeight="16" x14ac:dyDescent="0.2"/>
  <cols>
    <col min="1" max="1" width="3" style="44" customWidth="1"/>
    <col min="2" max="2" width="40.7109375" style="49" customWidth="1"/>
    <col min="3" max="5" width="40.7109375" style="44" customWidth="1"/>
    <col min="6" max="7" width="84.5703125" style="44" customWidth="1"/>
    <col min="8" max="16384" width="10.7109375" style="44"/>
  </cols>
  <sheetData>
    <row r="1" spans="2:5" ht="17" thickBot="1" x14ac:dyDescent="0.25"/>
    <row r="2" spans="2:5" ht="22" customHeight="1" x14ac:dyDescent="0.2">
      <c r="B2" s="75" t="s">
        <v>44</v>
      </c>
      <c r="C2" s="76"/>
      <c r="D2" s="76"/>
      <c r="E2" s="77"/>
    </row>
    <row r="3" spans="2:5" ht="119" customHeight="1" thickBot="1" x14ac:dyDescent="0.25">
      <c r="B3" s="90" t="s">
        <v>124</v>
      </c>
      <c r="C3" s="91"/>
      <c r="D3" s="91"/>
      <c r="E3" s="92"/>
    </row>
    <row r="4" spans="2:5" x14ac:dyDescent="0.2">
      <c r="B4" s="68"/>
    </row>
    <row r="5" spans="2:5" x14ac:dyDescent="0.2">
      <c r="B5" s="69" t="s">
        <v>84</v>
      </c>
      <c r="C5" s="69"/>
      <c r="D5" s="70"/>
      <c r="E5" s="70"/>
    </row>
    <row r="6" spans="2:5" ht="17" x14ac:dyDescent="0.2">
      <c r="B6" s="71" t="s">
        <v>68</v>
      </c>
      <c r="C6" s="72" t="s">
        <v>69</v>
      </c>
      <c r="D6" s="72" t="s">
        <v>70</v>
      </c>
      <c r="E6" s="72" t="s">
        <v>71</v>
      </c>
    </row>
    <row r="7" spans="2:5" ht="50" customHeight="1" x14ac:dyDescent="0.2">
      <c r="B7" s="73" t="s">
        <v>86</v>
      </c>
      <c r="C7" s="74" t="s">
        <v>72</v>
      </c>
      <c r="D7" s="74" t="s">
        <v>73</v>
      </c>
      <c r="E7" s="74" t="s">
        <v>74</v>
      </c>
    </row>
    <row r="8" spans="2:5" ht="50" customHeight="1" x14ac:dyDescent="0.2">
      <c r="B8" s="73" t="s">
        <v>88</v>
      </c>
      <c r="C8" s="74" t="s">
        <v>89</v>
      </c>
      <c r="D8" s="74" t="s">
        <v>82</v>
      </c>
      <c r="E8" s="74" t="s">
        <v>77</v>
      </c>
    </row>
    <row r="9" spans="2:5" ht="50" customHeight="1" x14ac:dyDescent="0.2">
      <c r="B9" s="73" t="s">
        <v>62</v>
      </c>
      <c r="C9" s="74" t="s">
        <v>75</v>
      </c>
      <c r="D9" s="74" t="s">
        <v>76</v>
      </c>
      <c r="E9" s="74" t="s">
        <v>77</v>
      </c>
    </row>
    <row r="10" spans="2:5" ht="50" customHeight="1" x14ac:dyDescent="0.2">
      <c r="B10" s="73" t="s">
        <v>85</v>
      </c>
      <c r="C10" s="74" t="s">
        <v>78</v>
      </c>
      <c r="D10" s="74" t="s">
        <v>79</v>
      </c>
      <c r="E10" s="74" t="s">
        <v>80</v>
      </c>
    </row>
    <row r="11" spans="2:5" ht="50" customHeight="1" x14ac:dyDescent="0.2">
      <c r="B11" s="73" t="s">
        <v>87</v>
      </c>
      <c r="C11" s="74" t="s">
        <v>81</v>
      </c>
      <c r="D11" s="74" t="s">
        <v>82</v>
      </c>
      <c r="E11" s="74" t="s">
        <v>83</v>
      </c>
    </row>
    <row r="12" spans="2:5" x14ac:dyDescent="0.2">
      <c r="B12" s="68"/>
    </row>
    <row r="13" spans="2:5" ht="17" x14ac:dyDescent="0.2">
      <c r="B13" s="47" t="s">
        <v>45</v>
      </c>
    </row>
    <row r="14" spans="2:5" x14ac:dyDescent="0.2">
      <c r="B14" s="45"/>
    </row>
    <row r="15" spans="2:5" ht="17" x14ac:dyDescent="0.2">
      <c r="B15" s="48" t="s">
        <v>46</v>
      </c>
    </row>
    <row r="16" spans="2:5" ht="17" x14ac:dyDescent="0.2">
      <c r="B16" s="46" t="s">
        <v>47</v>
      </c>
    </row>
  </sheetData>
  <mergeCells count="1">
    <mergeCell ref="B3:E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AC0D6-E5D2-9F40-911C-A1CB93C0A9F7}">
  <dimension ref="B2:C24"/>
  <sheetViews>
    <sheetView showGridLines="0" workbookViewId="0">
      <selection activeCell="C29" sqref="C29"/>
    </sheetView>
  </sheetViews>
  <sheetFormatPr baseColWidth="10" defaultRowHeight="16" x14ac:dyDescent="0.2"/>
  <cols>
    <col min="1" max="1" width="4" customWidth="1"/>
    <col min="2" max="3" width="40.7109375" customWidth="1"/>
  </cols>
  <sheetData>
    <row r="2" spans="2:3" x14ac:dyDescent="0.2">
      <c r="B2" s="93" t="s">
        <v>90</v>
      </c>
      <c r="C2" s="94"/>
    </row>
    <row r="3" spans="2:3" x14ac:dyDescent="0.2">
      <c r="B3" s="80"/>
      <c r="C3" s="80"/>
    </row>
    <row r="4" spans="2:3" x14ac:dyDescent="0.2">
      <c r="B4" s="95" t="s">
        <v>91</v>
      </c>
      <c r="C4" s="96"/>
    </row>
    <row r="5" spans="2:3" x14ac:dyDescent="0.2">
      <c r="B5" s="97"/>
      <c r="C5" s="98"/>
    </row>
    <row r="6" spans="2:3" x14ac:dyDescent="0.2">
      <c r="B6" s="97"/>
      <c r="C6" s="98"/>
    </row>
    <row r="7" spans="2:3" x14ac:dyDescent="0.2">
      <c r="B7" s="97"/>
      <c r="C7" s="98"/>
    </row>
    <row r="8" spans="2:3" x14ac:dyDescent="0.2">
      <c r="B8" s="97"/>
      <c r="C8" s="98"/>
    </row>
    <row r="9" spans="2:3" x14ac:dyDescent="0.2">
      <c r="B9" s="97"/>
      <c r="C9" s="98"/>
    </row>
    <row r="10" spans="2:3" x14ac:dyDescent="0.2">
      <c r="B10" s="97"/>
      <c r="C10" s="98"/>
    </row>
    <row r="11" spans="2:3" x14ac:dyDescent="0.2">
      <c r="B11" s="97"/>
      <c r="C11" s="98"/>
    </row>
    <row r="12" spans="2:3" x14ac:dyDescent="0.2">
      <c r="B12" s="97"/>
      <c r="C12" s="98"/>
    </row>
    <row r="13" spans="2:3" x14ac:dyDescent="0.2">
      <c r="B13" s="99"/>
      <c r="C13" s="100"/>
    </row>
    <row r="14" spans="2:3" x14ac:dyDescent="0.2">
      <c r="B14" s="80"/>
      <c r="C14" s="80"/>
    </row>
    <row r="15" spans="2:3" x14ac:dyDescent="0.2">
      <c r="B15" s="93" t="s">
        <v>92</v>
      </c>
      <c r="C15" s="94"/>
    </row>
    <row r="16" spans="2:3" x14ac:dyDescent="0.2">
      <c r="B16" s="80"/>
      <c r="C16" s="80"/>
    </row>
    <row r="17" spans="2:3" ht="30" customHeight="1" x14ac:dyDescent="0.2">
      <c r="B17" s="81" t="s">
        <v>93</v>
      </c>
      <c r="C17" s="82" t="s">
        <v>94</v>
      </c>
    </row>
    <row r="18" spans="2:3" ht="30" customHeight="1" x14ac:dyDescent="0.2">
      <c r="B18" s="81" t="s">
        <v>95</v>
      </c>
      <c r="C18" s="82" t="s">
        <v>96</v>
      </c>
    </row>
    <row r="19" spans="2:3" ht="30" customHeight="1" x14ac:dyDescent="0.2">
      <c r="B19" s="81" t="s">
        <v>97</v>
      </c>
      <c r="C19" s="83" t="s">
        <v>98</v>
      </c>
    </row>
    <row r="20" spans="2:3" ht="30" customHeight="1" x14ac:dyDescent="0.2">
      <c r="B20" s="81" t="s">
        <v>99</v>
      </c>
      <c r="C20" s="84">
        <v>1</v>
      </c>
    </row>
    <row r="21" spans="2:3" ht="30" customHeight="1" x14ac:dyDescent="0.2">
      <c r="B21" s="81" t="s">
        <v>100</v>
      </c>
      <c r="C21" s="85" t="s">
        <v>101</v>
      </c>
    </row>
    <row r="22" spans="2:3" ht="30" customHeight="1" x14ac:dyDescent="0.2">
      <c r="B22" s="86" t="s">
        <v>102</v>
      </c>
      <c r="C22" s="87" t="s">
        <v>103</v>
      </c>
    </row>
    <row r="23" spans="2:3" ht="30" customHeight="1" x14ac:dyDescent="0.2">
      <c r="B23" s="86" t="s">
        <v>104</v>
      </c>
      <c r="C23" s="87" t="s">
        <v>103</v>
      </c>
    </row>
    <row r="24" spans="2:3" ht="30" customHeight="1" x14ac:dyDescent="0.2">
      <c r="B24" s="88" t="s">
        <v>105</v>
      </c>
      <c r="C24" s="87" t="s">
        <v>103</v>
      </c>
    </row>
  </sheetData>
  <mergeCells count="3">
    <mergeCell ref="B2:C2"/>
    <mergeCell ref="B4:C13"/>
    <mergeCell ref="B15:C1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58653-8B88-1740-A323-DA4245336B33}">
  <sheetPr>
    <tabColor theme="0"/>
    <pageSetUpPr fitToPage="1"/>
  </sheetPr>
  <dimension ref="B1:J84"/>
  <sheetViews>
    <sheetView tabSelected="1" zoomScale="60" zoomScaleNormal="105" workbookViewId="0">
      <selection activeCell="C78" sqref="C78"/>
    </sheetView>
  </sheetViews>
  <sheetFormatPr baseColWidth="10" defaultColWidth="13.85546875" defaultRowHeight="14" x14ac:dyDescent="0.15"/>
  <cols>
    <col min="1" max="1" width="5.140625" style="1" customWidth="1"/>
    <col min="2" max="2" width="41" style="1" customWidth="1"/>
    <col min="3" max="8" width="20.7109375" style="1" customWidth="1"/>
    <col min="9" max="9" width="5.5703125" style="1" customWidth="1"/>
    <col min="10" max="10" width="20.7109375" style="1" customWidth="1"/>
    <col min="11" max="16384" width="13.85546875" style="1"/>
  </cols>
  <sheetData>
    <row r="1" spans="2:10" ht="21" customHeight="1" x14ac:dyDescent="0.15"/>
    <row r="2" spans="2:10" ht="29" customHeight="1" x14ac:dyDescent="0.15">
      <c r="B2" s="29" t="s">
        <v>39</v>
      </c>
      <c r="C2" s="28"/>
      <c r="D2" s="28"/>
      <c r="E2" s="28"/>
      <c r="F2" s="28"/>
      <c r="G2" s="28"/>
      <c r="H2" s="28"/>
      <c r="I2" s="28"/>
      <c r="J2" s="28"/>
    </row>
    <row r="3" spans="2:10" ht="16" customHeight="1" x14ac:dyDescent="0.15">
      <c r="B3" s="25"/>
      <c r="C3" s="25"/>
      <c r="D3" s="25"/>
      <c r="E3" s="25"/>
      <c r="F3" s="25"/>
      <c r="G3" s="25"/>
      <c r="H3" s="25"/>
      <c r="I3" s="25"/>
      <c r="J3" s="25"/>
    </row>
    <row r="4" spans="2:10" s="4" customFormat="1" ht="16" x14ac:dyDescent="0.2">
      <c r="B4" s="4" t="s">
        <v>39</v>
      </c>
      <c r="C4" s="13" t="s">
        <v>106</v>
      </c>
      <c r="D4" s="13" t="s">
        <v>1</v>
      </c>
      <c r="E4" s="13" t="s">
        <v>2</v>
      </c>
      <c r="F4" s="13" t="s">
        <v>3</v>
      </c>
      <c r="G4" s="13" t="s">
        <v>4</v>
      </c>
      <c r="H4" s="13" t="s">
        <v>5</v>
      </c>
      <c r="J4" s="13" t="s">
        <v>6</v>
      </c>
    </row>
    <row r="5" spans="2:10" s="30" customFormat="1" ht="16" x14ac:dyDescent="0.2">
      <c r="C5" s="31"/>
      <c r="D5" s="31"/>
      <c r="E5" s="31"/>
      <c r="F5" s="31"/>
      <c r="G5" s="31"/>
      <c r="H5" s="31"/>
      <c r="J5" s="31"/>
    </row>
    <row r="6" spans="2:10" s="30" customFormat="1" ht="16" x14ac:dyDescent="0.2">
      <c r="B6" s="5" t="s">
        <v>40</v>
      </c>
      <c r="C6" s="31"/>
      <c r="D6" s="31"/>
      <c r="E6" s="31"/>
      <c r="F6" s="31"/>
      <c r="G6" s="31"/>
      <c r="H6" s="31"/>
      <c r="J6" s="31"/>
    </row>
    <row r="7" spans="2:10" ht="16" x14ac:dyDescent="0.2">
      <c r="B7" s="9" t="s">
        <v>51</v>
      </c>
      <c r="C7" s="26">
        <f>'Project costs'!C18</f>
        <v>1055000</v>
      </c>
      <c r="D7" s="26">
        <f>'Project costs'!D18</f>
        <v>106000</v>
      </c>
      <c r="E7" s="26">
        <f>'Project costs'!E18</f>
        <v>71000</v>
      </c>
      <c r="F7" s="26">
        <f>'Project costs'!F18</f>
        <v>54000</v>
      </c>
      <c r="G7" s="26">
        <f>'Project costs'!G18</f>
        <v>43000</v>
      </c>
      <c r="H7" s="26">
        <f>'Project costs'!H18</f>
        <v>26000</v>
      </c>
      <c r="I7" s="26"/>
      <c r="J7" s="27">
        <f>SUM(C7:H7)</f>
        <v>1355000</v>
      </c>
    </row>
    <row r="8" spans="2:10" ht="16" x14ac:dyDescent="0.2">
      <c r="B8" s="9" t="s">
        <v>12</v>
      </c>
      <c r="C8" s="26">
        <f>'Project costs'!C41</f>
        <v>0</v>
      </c>
      <c r="D8" s="26">
        <f>'Project costs'!D41</f>
        <v>35000</v>
      </c>
      <c r="E8" s="26">
        <f>'Project costs'!E41</f>
        <v>35000</v>
      </c>
      <c r="F8" s="26">
        <f>'Project costs'!F41</f>
        <v>35000</v>
      </c>
      <c r="G8" s="26">
        <f>'Project costs'!G41</f>
        <v>35000</v>
      </c>
      <c r="H8" s="59">
        <f>'Project costs'!H41</f>
        <v>35000</v>
      </c>
      <c r="I8" s="26"/>
      <c r="J8" s="27">
        <f>SUM(C8:H8)</f>
        <v>175000</v>
      </c>
    </row>
    <row r="9" spans="2:10" ht="16" x14ac:dyDescent="0.2">
      <c r="B9" s="9"/>
      <c r="C9" s="26"/>
      <c r="D9" s="26"/>
      <c r="E9" s="26"/>
      <c r="F9" s="26"/>
      <c r="G9" s="26"/>
      <c r="H9" s="26"/>
      <c r="I9" s="26"/>
      <c r="J9" s="27"/>
    </row>
    <row r="10" spans="2:10" ht="16" x14ac:dyDescent="0.2">
      <c r="B10" s="5" t="s">
        <v>49</v>
      </c>
      <c r="C10" s="26"/>
      <c r="D10" s="26"/>
      <c r="E10" s="26"/>
      <c r="F10" s="26"/>
      <c r="G10" s="26"/>
      <c r="H10" s="26"/>
      <c r="I10" s="26"/>
      <c r="J10" s="27"/>
    </row>
    <row r="11" spans="2:10" ht="16" x14ac:dyDescent="0.2">
      <c r="B11" s="9" t="s">
        <v>28</v>
      </c>
      <c r="C11" s="26">
        <f>'Project benefits'!C15</f>
        <v>0</v>
      </c>
      <c r="D11" s="26">
        <f>'Project benefits'!D15</f>
        <v>450000</v>
      </c>
      <c r="E11" s="26">
        <f>'Project benefits'!E15</f>
        <v>630000</v>
      </c>
      <c r="F11" s="26">
        <f>'Project benefits'!F15</f>
        <v>630000</v>
      </c>
      <c r="G11" s="26">
        <f>'Project benefits'!G15</f>
        <v>630000</v>
      </c>
      <c r="H11" s="26">
        <f>'Project benefits'!H15</f>
        <v>540000</v>
      </c>
      <c r="I11" s="26"/>
      <c r="J11" s="27">
        <f>SUM(C11:H11)</f>
        <v>2880000</v>
      </c>
    </row>
    <row r="12" spans="2:10" ht="16" x14ac:dyDescent="0.2">
      <c r="B12" s="9" t="s">
        <v>29</v>
      </c>
      <c r="C12" s="26">
        <f>'Project benefits'!C27</f>
        <v>0</v>
      </c>
      <c r="D12" s="26">
        <f>'Project benefits'!D27</f>
        <v>60000</v>
      </c>
      <c r="E12" s="26">
        <f>'Project benefits'!E27</f>
        <v>80000</v>
      </c>
      <c r="F12" s="26">
        <f>'Project benefits'!F27</f>
        <v>40000</v>
      </c>
      <c r="G12" s="26">
        <f>'Project benefits'!G27</f>
        <v>0</v>
      </c>
      <c r="H12" s="26">
        <f>'Project benefits'!H27</f>
        <v>0</v>
      </c>
      <c r="I12" s="32"/>
      <c r="J12" s="27">
        <f>SUM(C12:H12)</f>
        <v>180000</v>
      </c>
    </row>
    <row r="13" spans="2:10" ht="16" x14ac:dyDescent="0.2">
      <c r="B13" s="9"/>
      <c r="C13" s="32"/>
      <c r="D13" s="32"/>
      <c r="E13" s="32"/>
      <c r="F13" s="32"/>
      <c r="G13" s="32"/>
      <c r="H13" s="32"/>
      <c r="I13" s="32"/>
      <c r="J13" s="33"/>
    </row>
    <row r="14" spans="2:10" ht="16" x14ac:dyDescent="0.2">
      <c r="B14" s="78" t="s">
        <v>114</v>
      </c>
      <c r="C14" s="79">
        <f>C12+C11-C8-C7</f>
        <v>-1055000</v>
      </c>
      <c r="D14" s="79">
        <f t="shared" ref="D14:J14" si="0">D12+D11-D8-D7</f>
        <v>369000</v>
      </c>
      <c r="E14" s="79">
        <f t="shared" si="0"/>
        <v>604000</v>
      </c>
      <c r="F14" s="79">
        <f t="shared" si="0"/>
        <v>581000</v>
      </c>
      <c r="G14" s="79">
        <f t="shared" si="0"/>
        <v>552000</v>
      </c>
      <c r="H14" s="79">
        <f t="shared" si="0"/>
        <v>479000</v>
      </c>
      <c r="I14" s="27"/>
      <c r="J14" s="79">
        <f t="shared" si="0"/>
        <v>1530000</v>
      </c>
    </row>
    <row r="15" spans="2:10" ht="16" x14ac:dyDescent="0.2">
      <c r="B15" s="5"/>
      <c r="C15" s="27"/>
      <c r="D15" s="27"/>
      <c r="E15" s="27"/>
      <c r="F15" s="27"/>
      <c r="G15" s="27"/>
      <c r="H15" s="27"/>
      <c r="I15" s="27"/>
      <c r="J15" s="27"/>
    </row>
    <row r="16" spans="2:10" ht="16" x14ac:dyDescent="0.2">
      <c r="B16" s="78" t="s">
        <v>41</v>
      </c>
      <c r="C16" s="79">
        <f>C14</f>
        <v>-1055000</v>
      </c>
      <c r="D16" s="79">
        <f>C16+D14</f>
        <v>-686000</v>
      </c>
      <c r="E16" s="79">
        <f t="shared" ref="E16:H16" si="1">D16+E14</f>
        <v>-82000</v>
      </c>
      <c r="F16" s="79">
        <f t="shared" si="1"/>
        <v>499000</v>
      </c>
      <c r="G16" s="79">
        <f t="shared" si="1"/>
        <v>1051000</v>
      </c>
      <c r="H16" s="79">
        <f t="shared" si="1"/>
        <v>1530000</v>
      </c>
      <c r="I16" s="27"/>
      <c r="J16" s="79">
        <f>H16</f>
        <v>1530000</v>
      </c>
    </row>
    <row r="17" spans="2:10" ht="16" x14ac:dyDescent="0.2">
      <c r="B17" s="10"/>
      <c r="C17" s="27"/>
      <c r="D17" s="27"/>
      <c r="E17" s="27"/>
      <c r="F17" s="27"/>
      <c r="G17" s="27"/>
      <c r="H17" s="27"/>
      <c r="I17" s="27"/>
      <c r="J17" s="27"/>
    </row>
    <row r="18" spans="2:10" ht="16" x14ac:dyDescent="0.2">
      <c r="B18" s="10"/>
      <c r="C18" s="27"/>
      <c r="D18" s="27"/>
      <c r="E18" s="27"/>
      <c r="F18" s="27"/>
      <c r="G18" s="27"/>
      <c r="H18" s="27"/>
      <c r="I18" s="27"/>
      <c r="J18" s="27"/>
    </row>
    <row r="19" spans="2:10" ht="16" x14ac:dyDescent="0.2">
      <c r="B19" s="10"/>
      <c r="C19" s="27"/>
      <c r="D19" s="27"/>
      <c r="E19" s="27"/>
      <c r="F19" s="27"/>
      <c r="G19" s="27"/>
      <c r="H19" s="27"/>
      <c r="I19" s="27"/>
      <c r="J19" s="27"/>
    </row>
    <row r="20" spans="2:10" s="36" customFormat="1" ht="16" x14ac:dyDescent="0.2">
      <c r="B20" s="34" t="s">
        <v>38</v>
      </c>
      <c r="C20" s="35"/>
      <c r="D20" s="35"/>
      <c r="E20" s="35"/>
      <c r="F20" s="35"/>
      <c r="G20" s="35"/>
      <c r="H20" s="35"/>
      <c r="I20" s="35"/>
      <c r="J20" s="35"/>
    </row>
    <row r="21" spans="2:10" ht="16" x14ac:dyDescent="0.2">
      <c r="B21" s="10"/>
      <c r="C21" s="27"/>
      <c r="D21" s="27"/>
      <c r="E21" s="27"/>
      <c r="F21" s="27"/>
      <c r="G21" s="27"/>
      <c r="H21" s="27"/>
      <c r="I21" s="27"/>
      <c r="J21" s="27"/>
    </row>
    <row r="22" spans="2:10" ht="16" x14ac:dyDescent="0.15">
      <c r="B22" s="37" t="s">
        <v>42</v>
      </c>
      <c r="C22" s="43">
        <v>0.05</v>
      </c>
      <c r="D22" s="38"/>
      <c r="E22" s="39"/>
      <c r="F22" s="39"/>
      <c r="G22" s="39"/>
      <c r="H22" s="39"/>
      <c r="I22" s="39"/>
      <c r="J22" s="39"/>
    </row>
    <row r="23" spans="2:10" ht="16" x14ac:dyDescent="0.15">
      <c r="B23" s="56" t="s">
        <v>60</v>
      </c>
      <c r="C23" s="62">
        <f>NPV(C22,D14:H14)+C14</f>
        <v>1175604.8209875314</v>
      </c>
      <c r="D23" s="40"/>
      <c r="E23" s="40"/>
      <c r="F23" s="40"/>
      <c r="G23" s="40"/>
      <c r="H23" s="40"/>
      <c r="I23" s="39"/>
      <c r="J23" s="39"/>
    </row>
    <row r="24" spans="2:10" ht="16" x14ac:dyDescent="0.15">
      <c r="B24" s="56"/>
      <c r="C24" s="40"/>
      <c r="D24" s="40"/>
      <c r="E24" s="40"/>
      <c r="F24" s="40"/>
      <c r="G24" s="40"/>
      <c r="H24" s="40"/>
      <c r="I24" s="39"/>
      <c r="J24" s="39"/>
    </row>
    <row r="25" spans="2:10" ht="16" x14ac:dyDescent="0.15">
      <c r="B25" s="56" t="s">
        <v>61</v>
      </c>
      <c r="C25" s="57">
        <f>IRR(C14:H14)</f>
        <v>0.37923873162461419</v>
      </c>
      <c r="D25" s="40"/>
      <c r="E25" s="40"/>
      <c r="F25" s="40"/>
      <c r="G25" s="40"/>
      <c r="H25" s="40"/>
      <c r="I25" s="39"/>
      <c r="J25" s="39"/>
    </row>
    <row r="26" spans="2:10" ht="16" x14ac:dyDescent="0.15">
      <c r="B26" s="56"/>
      <c r="C26" s="40"/>
      <c r="D26" s="40"/>
      <c r="E26" s="40"/>
      <c r="F26" s="40"/>
      <c r="G26" s="40"/>
      <c r="H26" s="40"/>
      <c r="I26" s="39"/>
      <c r="J26" s="39"/>
    </row>
    <row r="27" spans="2:10" ht="52" customHeight="1" x14ac:dyDescent="0.15">
      <c r="B27" s="56" t="s">
        <v>62</v>
      </c>
      <c r="C27" s="58" t="str">
        <f>ROUND(COUNTIF(14:14,"&lt;0")+(-D16/E14),2) &amp; " years"</f>
        <v>2.14 years</v>
      </c>
      <c r="D27" s="101" t="s">
        <v>63</v>
      </c>
      <c r="E27" s="101"/>
      <c r="F27" s="101"/>
      <c r="G27" s="40"/>
      <c r="H27" s="40"/>
      <c r="I27" s="39"/>
      <c r="J27" s="39"/>
    </row>
    <row r="28" spans="2:10" ht="16" x14ac:dyDescent="0.15">
      <c r="B28" s="56"/>
      <c r="C28" s="40"/>
      <c r="D28" s="40"/>
      <c r="E28" s="40"/>
      <c r="F28" s="40"/>
      <c r="G28" s="40"/>
      <c r="H28" s="40"/>
      <c r="I28" s="39"/>
      <c r="J28" s="39"/>
    </row>
    <row r="29" spans="2:10" ht="16" x14ac:dyDescent="0.15">
      <c r="B29" s="60" t="s">
        <v>43</v>
      </c>
      <c r="C29" s="61">
        <f>(J11+J12-J8-J7)/(J8+J7)</f>
        <v>1</v>
      </c>
      <c r="D29" s="42"/>
      <c r="E29" s="41"/>
      <c r="F29" s="41"/>
      <c r="G29" s="41"/>
      <c r="H29" s="41"/>
      <c r="I29" s="41"/>
      <c r="J29" s="41"/>
    </row>
    <row r="30" spans="2:10" x14ac:dyDescent="0.15">
      <c r="B30" s="25"/>
      <c r="C30" s="25"/>
      <c r="D30" s="25"/>
      <c r="E30" s="25"/>
      <c r="F30" s="25"/>
      <c r="G30" s="25"/>
      <c r="H30" s="25"/>
      <c r="I30" s="25"/>
      <c r="J30" s="25"/>
    </row>
    <row r="31" spans="2:10" ht="16" x14ac:dyDescent="0.15">
      <c r="B31" s="63" t="s">
        <v>64</v>
      </c>
      <c r="C31" s="25"/>
      <c r="D31" s="25"/>
      <c r="E31" s="25"/>
      <c r="F31" s="25"/>
      <c r="G31" s="25"/>
      <c r="H31" s="25"/>
      <c r="I31" s="25"/>
      <c r="J31" s="25"/>
    </row>
    <row r="32" spans="2:10" ht="16" x14ac:dyDescent="0.2">
      <c r="B32" s="65" t="s">
        <v>65</v>
      </c>
      <c r="C32" s="64">
        <v>3000</v>
      </c>
      <c r="D32" s="25"/>
      <c r="E32" s="25"/>
      <c r="F32" s="25"/>
      <c r="G32" s="25"/>
      <c r="H32" s="25"/>
      <c r="I32" s="25"/>
      <c r="J32" s="25"/>
    </row>
    <row r="33" spans="2:10" ht="34" x14ac:dyDescent="0.2">
      <c r="B33" s="66" t="s">
        <v>66</v>
      </c>
      <c r="C33" s="26">
        <f>J7+D8</f>
        <v>1390000</v>
      </c>
      <c r="D33" s="25"/>
      <c r="E33" s="25"/>
      <c r="F33" s="25"/>
      <c r="G33" s="25"/>
      <c r="H33" s="25"/>
      <c r="I33" s="25"/>
      <c r="J33" s="25"/>
    </row>
    <row r="34" spans="2:10" ht="16" x14ac:dyDescent="0.15">
      <c r="B34" s="65"/>
      <c r="C34" s="25"/>
      <c r="D34" s="25"/>
      <c r="E34" s="25"/>
      <c r="F34" s="25"/>
      <c r="G34" s="25"/>
      <c r="H34" s="25"/>
      <c r="I34" s="25"/>
      <c r="J34" s="25"/>
    </row>
    <row r="35" spans="2:10" ht="16" x14ac:dyDescent="0.15">
      <c r="B35" s="63" t="s">
        <v>67</v>
      </c>
      <c r="C35" s="67" t="str">
        <f>ROUNDUP(C33/C32,0) &amp; " units sold"</f>
        <v>464 units sold</v>
      </c>
      <c r="D35" s="25"/>
      <c r="E35" s="25"/>
      <c r="F35" s="25"/>
      <c r="G35" s="25"/>
      <c r="H35" s="25"/>
      <c r="I35" s="25"/>
      <c r="J35" s="25"/>
    </row>
    <row r="36" spans="2:10" x14ac:dyDescent="0.15">
      <c r="B36" s="25"/>
      <c r="C36" s="25"/>
      <c r="D36" s="25"/>
      <c r="E36" s="25"/>
      <c r="F36" s="25"/>
      <c r="G36" s="25"/>
      <c r="H36" s="25"/>
      <c r="I36" s="25"/>
      <c r="J36" s="25"/>
    </row>
    <row r="37" spans="2:10" x14ac:dyDescent="0.15">
      <c r="B37" s="25"/>
      <c r="C37" s="25"/>
      <c r="D37" s="25"/>
      <c r="E37" s="25"/>
      <c r="F37" s="25"/>
      <c r="G37" s="25"/>
      <c r="H37" s="25"/>
      <c r="I37" s="25"/>
      <c r="J37" s="25"/>
    </row>
    <row r="38" spans="2:10" x14ac:dyDescent="0.15">
      <c r="B38" s="25"/>
      <c r="C38" s="25"/>
      <c r="D38" s="25"/>
      <c r="E38" s="25"/>
      <c r="F38" s="25"/>
      <c r="G38" s="25"/>
      <c r="H38" s="25"/>
      <c r="I38" s="25"/>
      <c r="J38" s="25"/>
    </row>
    <row r="39" spans="2:10" x14ac:dyDescent="0.15">
      <c r="B39" s="25"/>
      <c r="C39" s="25"/>
      <c r="D39" s="25"/>
      <c r="E39" s="25"/>
      <c r="F39" s="25"/>
      <c r="G39" s="25"/>
      <c r="H39" s="25"/>
      <c r="I39" s="25"/>
      <c r="J39" s="25"/>
    </row>
    <row r="70" spans="2:10" s="36" customFormat="1" ht="16" x14ac:dyDescent="0.2">
      <c r="B70" s="34" t="s">
        <v>115</v>
      </c>
      <c r="C70" s="35"/>
      <c r="D70" s="35"/>
      <c r="E70" s="35"/>
      <c r="F70" s="35"/>
      <c r="G70" s="35"/>
      <c r="H70" s="35"/>
      <c r="I70" s="35"/>
      <c r="J70" s="35"/>
    </row>
    <row r="72" spans="2:10" x14ac:dyDescent="0.15">
      <c r="B72" s="1" t="s">
        <v>122</v>
      </c>
    </row>
    <row r="73" spans="2:10" ht="68" x14ac:dyDescent="0.15">
      <c r="B73" s="102" t="s">
        <v>121</v>
      </c>
      <c r="C73" s="103" t="s">
        <v>123</v>
      </c>
      <c r="D73" s="104" t="s">
        <v>118</v>
      </c>
      <c r="E73" s="104" t="s">
        <v>117</v>
      </c>
      <c r="F73" s="104" t="s">
        <v>116</v>
      </c>
      <c r="G73" s="105" t="s">
        <v>119</v>
      </c>
    </row>
    <row r="74" spans="2:10" ht="16" x14ac:dyDescent="0.2">
      <c r="B74" s="106">
        <v>0</v>
      </c>
      <c r="C74" s="107">
        <v>0.7</v>
      </c>
      <c r="D74" s="108">
        <v>10000</v>
      </c>
      <c r="E74" s="109">
        <v>45</v>
      </c>
      <c r="F74" s="59">
        <f>+D74*E74</f>
        <v>450000</v>
      </c>
      <c r="G74" s="110" t="s">
        <v>120</v>
      </c>
    </row>
    <row r="75" spans="2:10" ht="16" x14ac:dyDescent="0.2">
      <c r="B75" s="106">
        <f>+B74+0.1</f>
        <v>0.1</v>
      </c>
      <c r="C75" s="111">
        <f>C74</f>
        <v>0.7</v>
      </c>
      <c r="D75" s="112">
        <f>D$74*(1+B75*C75)</f>
        <v>10700</v>
      </c>
      <c r="E75" s="59">
        <f>E74</f>
        <v>45</v>
      </c>
      <c r="F75" s="59">
        <f>+D75*E75</f>
        <v>481500</v>
      </c>
      <c r="G75" s="113">
        <f>F75/F$74-1</f>
        <v>7.0000000000000062E-2</v>
      </c>
    </row>
    <row r="76" spans="2:10" ht="16" x14ac:dyDescent="0.2">
      <c r="B76" s="106">
        <f t="shared" ref="B76:B84" si="2">+B75+0.1</f>
        <v>0.2</v>
      </c>
      <c r="C76" s="111">
        <f t="shared" ref="C76:C84" si="3">C75</f>
        <v>0.7</v>
      </c>
      <c r="D76" s="112">
        <f t="shared" ref="D76:D84" si="4">D$74*(1+B76*C76)</f>
        <v>11399.999999999998</v>
      </c>
      <c r="E76" s="59">
        <f t="shared" ref="E76:E84" si="5">E75</f>
        <v>45</v>
      </c>
      <c r="F76" s="59">
        <f>+D76*E76</f>
        <v>512999.99999999994</v>
      </c>
      <c r="G76" s="113">
        <f t="shared" ref="G76:G84" si="6">F76/F$74-1</f>
        <v>0.1399999999999999</v>
      </c>
    </row>
    <row r="77" spans="2:10" ht="16" x14ac:dyDescent="0.2">
      <c r="B77" s="106">
        <f t="shared" si="2"/>
        <v>0.30000000000000004</v>
      </c>
      <c r="C77" s="111">
        <f t="shared" si="3"/>
        <v>0.7</v>
      </c>
      <c r="D77" s="112">
        <f t="shared" si="4"/>
        <v>12100</v>
      </c>
      <c r="E77" s="59">
        <f t="shared" si="5"/>
        <v>45</v>
      </c>
      <c r="F77" s="59">
        <f>+D77*E77</f>
        <v>544500</v>
      </c>
      <c r="G77" s="113">
        <f t="shared" si="6"/>
        <v>0.20999999999999996</v>
      </c>
    </row>
    <row r="78" spans="2:10" ht="16" x14ac:dyDescent="0.2">
      <c r="B78" s="106">
        <f t="shared" si="2"/>
        <v>0.4</v>
      </c>
      <c r="C78" s="111">
        <f t="shared" si="3"/>
        <v>0.7</v>
      </c>
      <c r="D78" s="112">
        <f t="shared" si="4"/>
        <v>12800</v>
      </c>
      <c r="E78" s="59">
        <f t="shared" si="5"/>
        <v>45</v>
      </c>
      <c r="F78" s="59">
        <f>+D78*E78</f>
        <v>576000</v>
      </c>
      <c r="G78" s="113">
        <f t="shared" si="6"/>
        <v>0.28000000000000003</v>
      </c>
    </row>
    <row r="79" spans="2:10" ht="16" x14ac:dyDescent="0.2">
      <c r="B79" s="106">
        <f t="shared" si="2"/>
        <v>0.5</v>
      </c>
      <c r="C79" s="111">
        <f t="shared" si="3"/>
        <v>0.7</v>
      </c>
      <c r="D79" s="112">
        <f t="shared" si="4"/>
        <v>13500</v>
      </c>
      <c r="E79" s="59">
        <f t="shared" si="5"/>
        <v>45</v>
      </c>
      <c r="F79" s="59">
        <f>+D79*E79</f>
        <v>607500</v>
      </c>
      <c r="G79" s="113">
        <f t="shared" si="6"/>
        <v>0.35000000000000009</v>
      </c>
    </row>
    <row r="80" spans="2:10" ht="16" x14ac:dyDescent="0.2">
      <c r="B80" s="106">
        <f t="shared" si="2"/>
        <v>0.6</v>
      </c>
      <c r="C80" s="111">
        <f t="shared" si="3"/>
        <v>0.7</v>
      </c>
      <c r="D80" s="112">
        <f t="shared" si="4"/>
        <v>14200</v>
      </c>
      <c r="E80" s="59">
        <f t="shared" si="5"/>
        <v>45</v>
      </c>
      <c r="F80" s="59">
        <f>+D80*E80</f>
        <v>639000</v>
      </c>
      <c r="G80" s="113">
        <f t="shared" si="6"/>
        <v>0.41999999999999993</v>
      </c>
    </row>
    <row r="81" spans="2:7" ht="16" x14ac:dyDescent="0.2">
      <c r="B81" s="106">
        <f t="shared" si="2"/>
        <v>0.7</v>
      </c>
      <c r="C81" s="111">
        <f t="shared" si="3"/>
        <v>0.7</v>
      </c>
      <c r="D81" s="112">
        <f t="shared" si="4"/>
        <v>14900</v>
      </c>
      <c r="E81" s="59">
        <f t="shared" si="5"/>
        <v>45</v>
      </c>
      <c r="F81" s="59">
        <f>+D81*E81</f>
        <v>670500</v>
      </c>
      <c r="G81" s="113">
        <f t="shared" si="6"/>
        <v>0.49</v>
      </c>
    </row>
    <row r="82" spans="2:7" ht="16" x14ac:dyDescent="0.2">
      <c r="B82" s="106">
        <f t="shared" si="2"/>
        <v>0.79999999999999993</v>
      </c>
      <c r="C82" s="111">
        <f t="shared" si="3"/>
        <v>0.7</v>
      </c>
      <c r="D82" s="112">
        <f t="shared" si="4"/>
        <v>15600</v>
      </c>
      <c r="E82" s="59">
        <f t="shared" si="5"/>
        <v>45</v>
      </c>
      <c r="F82" s="59">
        <f>+D82*E82</f>
        <v>702000</v>
      </c>
      <c r="G82" s="113">
        <f t="shared" si="6"/>
        <v>0.56000000000000005</v>
      </c>
    </row>
    <row r="83" spans="2:7" ht="16" x14ac:dyDescent="0.2">
      <c r="B83" s="106">
        <f t="shared" si="2"/>
        <v>0.89999999999999991</v>
      </c>
      <c r="C83" s="111">
        <f t="shared" si="3"/>
        <v>0.7</v>
      </c>
      <c r="D83" s="112">
        <f t="shared" si="4"/>
        <v>16299.999999999998</v>
      </c>
      <c r="E83" s="59">
        <f t="shared" si="5"/>
        <v>45</v>
      </c>
      <c r="F83" s="59">
        <f>+D83*E83</f>
        <v>733499.99999999988</v>
      </c>
      <c r="G83" s="113">
        <f t="shared" si="6"/>
        <v>0.62999999999999967</v>
      </c>
    </row>
    <row r="84" spans="2:7" ht="16" x14ac:dyDescent="0.2">
      <c r="B84" s="114">
        <f t="shared" si="2"/>
        <v>0.99999999999999989</v>
      </c>
      <c r="C84" s="115">
        <f t="shared" si="3"/>
        <v>0.7</v>
      </c>
      <c r="D84" s="116">
        <f t="shared" si="4"/>
        <v>16999.999999999996</v>
      </c>
      <c r="E84" s="117">
        <f t="shared" si="5"/>
        <v>45</v>
      </c>
      <c r="F84" s="117">
        <f>+D84*E84</f>
        <v>764999.99999999988</v>
      </c>
      <c r="G84" s="118">
        <f t="shared" si="6"/>
        <v>0.69999999999999973</v>
      </c>
    </row>
  </sheetData>
  <mergeCells count="1">
    <mergeCell ref="D27:F27"/>
  </mergeCells>
  <pageMargins left="0.70866141732283472" right="0.70866141732283472" top="0.74803149606299213" bottom="0.74803149606299213" header="0.31496062992125984" footer="0.31496062992125984"/>
  <pageSetup paperSize="8" orientation="landscape" horizontalDpi="300" verticalDpi="300" copies="3"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1609B-F70E-3F46-86E1-6421870DC06F}">
  <dimension ref="B2:L44"/>
  <sheetViews>
    <sheetView zoomScale="74" workbookViewId="0">
      <selection activeCell="C18" sqref="C18"/>
    </sheetView>
  </sheetViews>
  <sheetFormatPr baseColWidth="10" defaultRowHeight="16" x14ac:dyDescent="0.2"/>
  <cols>
    <col min="1" max="1" width="2.42578125" style="3" customWidth="1"/>
    <col min="2" max="2" width="62.42578125" style="3" customWidth="1"/>
    <col min="3" max="8" width="20.7109375" style="12" customWidth="1"/>
    <col min="9" max="9" width="6" style="3" customWidth="1"/>
    <col min="10" max="10" width="20.7109375" style="51" customWidth="1"/>
    <col min="11" max="11" width="5.140625" style="3" customWidth="1"/>
    <col min="12" max="12" width="50.7109375" style="3" customWidth="1"/>
    <col min="13" max="16384" width="10.7109375" style="3"/>
  </cols>
  <sheetData>
    <row r="2" spans="2:12" ht="25" x14ac:dyDescent="0.25">
      <c r="B2" s="2" t="s">
        <v>8</v>
      </c>
    </row>
    <row r="4" spans="2:12" s="4" customFormat="1" x14ac:dyDescent="0.2">
      <c r="B4" s="4" t="s">
        <v>51</v>
      </c>
      <c r="C4" s="13" t="s">
        <v>106</v>
      </c>
      <c r="D4" s="13" t="s">
        <v>1</v>
      </c>
      <c r="E4" s="13" t="s">
        <v>2</v>
      </c>
      <c r="F4" s="13" t="s">
        <v>3</v>
      </c>
      <c r="G4" s="13" t="s">
        <v>4</v>
      </c>
      <c r="H4" s="13" t="s">
        <v>5</v>
      </c>
      <c r="J4" s="52" t="s">
        <v>6</v>
      </c>
      <c r="L4" s="4" t="s">
        <v>50</v>
      </c>
    </row>
    <row r="5" spans="2:12" x14ac:dyDescent="0.2">
      <c r="C5" s="14"/>
      <c r="D5" s="14"/>
    </row>
    <row r="6" spans="2:12" x14ac:dyDescent="0.2">
      <c r="B6" s="5" t="s">
        <v>52</v>
      </c>
      <c r="C6" s="14"/>
      <c r="D6" s="14"/>
    </row>
    <row r="7" spans="2:12" ht="17" x14ac:dyDescent="0.2">
      <c r="B7" s="6" t="s">
        <v>54</v>
      </c>
      <c r="C7" s="15">
        <v>0</v>
      </c>
      <c r="D7" s="15">
        <v>55000</v>
      </c>
      <c r="E7" s="15">
        <v>55000</v>
      </c>
      <c r="F7" s="15">
        <v>40000</v>
      </c>
      <c r="G7" s="15">
        <v>30000</v>
      </c>
      <c r="H7" s="15">
        <v>20000</v>
      </c>
      <c r="J7" s="53">
        <f t="shared" ref="J7:J10" si="0">SUM(C7:H7)</f>
        <v>200000</v>
      </c>
      <c r="L7" s="3" t="s">
        <v>59</v>
      </c>
    </row>
    <row r="8" spans="2:12" ht="17" x14ac:dyDescent="0.2">
      <c r="B8" s="6" t="s">
        <v>55</v>
      </c>
      <c r="C8" s="15">
        <v>0</v>
      </c>
      <c r="D8" s="15">
        <v>20000</v>
      </c>
      <c r="E8" s="15">
        <v>6000</v>
      </c>
      <c r="F8" s="15">
        <v>6000</v>
      </c>
      <c r="G8" s="15">
        <v>6000</v>
      </c>
      <c r="H8" s="15">
        <v>2000</v>
      </c>
      <c r="J8" s="53">
        <f t="shared" si="0"/>
        <v>40000</v>
      </c>
      <c r="L8" s="3" t="s">
        <v>59</v>
      </c>
    </row>
    <row r="9" spans="2:12" s="5" customFormat="1" ht="17" x14ac:dyDescent="0.2">
      <c r="B9" s="6" t="s">
        <v>9</v>
      </c>
      <c r="C9" s="15">
        <v>0</v>
      </c>
      <c r="D9" s="15">
        <v>31000</v>
      </c>
      <c r="E9" s="15">
        <v>10000</v>
      </c>
      <c r="F9" s="15">
        <v>8000</v>
      </c>
      <c r="G9" s="15">
        <v>7000</v>
      </c>
      <c r="H9" s="15">
        <v>4000</v>
      </c>
      <c r="J9" s="53">
        <f t="shared" si="0"/>
        <v>60000</v>
      </c>
      <c r="L9" s="3" t="s">
        <v>59</v>
      </c>
    </row>
    <row r="10" spans="2:12" ht="17" x14ac:dyDescent="0.2">
      <c r="B10" s="6" t="s">
        <v>10</v>
      </c>
      <c r="C10" s="15">
        <v>0</v>
      </c>
      <c r="D10" s="15">
        <v>0</v>
      </c>
      <c r="E10" s="15">
        <v>0</v>
      </c>
      <c r="F10" s="15">
        <v>0</v>
      </c>
      <c r="G10" s="15">
        <v>0</v>
      </c>
      <c r="H10" s="15">
        <v>0</v>
      </c>
      <c r="J10" s="53">
        <f t="shared" si="0"/>
        <v>0</v>
      </c>
      <c r="L10" s="3" t="s">
        <v>59</v>
      </c>
    </row>
    <row r="11" spans="2:12" ht="17" x14ac:dyDescent="0.2">
      <c r="B11" s="6" t="s">
        <v>11</v>
      </c>
      <c r="C11" s="15">
        <v>0</v>
      </c>
      <c r="D11" s="15">
        <v>0</v>
      </c>
      <c r="E11" s="15">
        <v>0</v>
      </c>
      <c r="F11" s="15">
        <v>0</v>
      </c>
      <c r="G11" s="15">
        <v>0</v>
      </c>
      <c r="H11" s="15">
        <v>0</v>
      </c>
      <c r="J11" s="53">
        <f>SUM(C11:H11)</f>
        <v>0</v>
      </c>
      <c r="L11" s="3" t="s">
        <v>59</v>
      </c>
    </row>
    <row r="12" spans="2:12" x14ac:dyDescent="0.2">
      <c r="B12" s="6"/>
      <c r="C12" s="22"/>
      <c r="D12" s="22"/>
      <c r="E12" s="22"/>
      <c r="F12" s="22"/>
      <c r="G12" s="22"/>
      <c r="H12" s="22"/>
      <c r="J12" s="53"/>
    </row>
    <row r="13" spans="2:12" ht="17" x14ac:dyDescent="0.2">
      <c r="B13" s="50" t="s">
        <v>53</v>
      </c>
      <c r="C13" s="22"/>
      <c r="D13" s="22"/>
      <c r="E13" s="22"/>
      <c r="F13" s="22"/>
      <c r="G13" s="22"/>
      <c r="H13" s="22"/>
      <c r="J13" s="53"/>
    </row>
    <row r="14" spans="2:12" ht="17" x14ac:dyDescent="0.2">
      <c r="B14" s="6" t="s">
        <v>56</v>
      </c>
      <c r="C14" s="15">
        <v>80000</v>
      </c>
      <c r="D14" s="15">
        <v>0</v>
      </c>
      <c r="E14" s="15">
        <v>0</v>
      </c>
      <c r="F14" s="15">
        <v>0</v>
      </c>
      <c r="G14" s="15">
        <v>0</v>
      </c>
      <c r="H14" s="15">
        <v>0</v>
      </c>
      <c r="J14" s="53">
        <f t="shared" ref="J14:J16" si="1">SUM(C14:H14)</f>
        <v>80000</v>
      </c>
      <c r="L14" s="3" t="s">
        <v>59</v>
      </c>
    </row>
    <row r="15" spans="2:12" ht="17" x14ac:dyDescent="0.2">
      <c r="B15" s="6" t="s">
        <v>57</v>
      </c>
      <c r="C15" s="15">
        <v>800000</v>
      </c>
      <c r="D15" s="15">
        <v>0</v>
      </c>
      <c r="E15" s="15">
        <v>0</v>
      </c>
      <c r="F15" s="15">
        <v>0</v>
      </c>
      <c r="G15" s="15">
        <v>0</v>
      </c>
      <c r="H15" s="15">
        <v>0</v>
      </c>
      <c r="J15" s="53">
        <f t="shared" si="1"/>
        <v>800000</v>
      </c>
      <c r="L15" s="3" t="s">
        <v>59</v>
      </c>
    </row>
    <row r="16" spans="2:12" ht="17" x14ac:dyDescent="0.2">
      <c r="B16" s="6" t="s">
        <v>58</v>
      </c>
      <c r="C16" s="15">
        <v>175000</v>
      </c>
      <c r="D16" s="15">
        <v>0</v>
      </c>
      <c r="E16" s="15">
        <v>0</v>
      </c>
      <c r="F16" s="15">
        <v>0</v>
      </c>
      <c r="G16" s="15">
        <v>0</v>
      </c>
      <c r="H16" s="15">
        <v>0</v>
      </c>
      <c r="J16" s="53">
        <f t="shared" si="1"/>
        <v>175000</v>
      </c>
      <c r="L16" s="3" t="s">
        <v>59</v>
      </c>
    </row>
    <row r="17" spans="2:12" x14ac:dyDescent="0.2">
      <c r="C17" s="16"/>
      <c r="D17" s="16"/>
      <c r="E17" s="16"/>
      <c r="F17" s="16"/>
      <c r="G17" s="16"/>
      <c r="H17" s="16"/>
    </row>
    <row r="18" spans="2:12" x14ac:dyDescent="0.2">
      <c r="B18" s="11" t="s">
        <v>113</v>
      </c>
      <c r="C18" s="17">
        <f>SUM(C5:C17)</f>
        <v>1055000</v>
      </c>
      <c r="D18" s="17">
        <f t="shared" ref="D18:H18" si="2">SUM(D5:D17)</f>
        <v>106000</v>
      </c>
      <c r="E18" s="17">
        <f t="shared" si="2"/>
        <v>71000</v>
      </c>
      <c r="F18" s="17">
        <f t="shared" si="2"/>
        <v>54000</v>
      </c>
      <c r="G18" s="17">
        <f t="shared" si="2"/>
        <v>43000</v>
      </c>
      <c r="H18" s="17">
        <f t="shared" si="2"/>
        <v>26000</v>
      </c>
      <c r="J18" s="54">
        <f>SUM(C18:H18)</f>
        <v>1355000</v>
      </c>
    </row>
    <row r="19" spans="2:12" x14ac:dyDescent="0.2">
      <c r="B19" s="7" t="s">
        <v>7</v>
      </c>
    </row>
    <row r="20" spans="2:12" x14ac:dyDescent="0.2">
      <c r="B20" s="7"/>
    </row>
    <row r="21" spans="2:12" x14ac:dyDescent="0.2">
      <c r="B21" s="7"/>
    </row>
    <row r="22" spans="2:12" s="4" customFormat="1" x14ac:dyDescent="0.2">
      <c r="B22" s="4" t="s">
        <v>12</v>
      </c>
      <c r="C22" s="13" t="s">
        <v>0</v>
      </c>
      <c r="D22" s="13" t="s">
        <v>1</v>
      </c>
      <c r="E22" s="13" t="s">
        <v>2</v>
      </c>
      <c r="F22" s="13" t="s">
        <v>3</v>
      </c>
      <c r="G22" s="13" t="s">
        <v>4</v>
      </c>
      <c r="H22" s="13" t="s">
        <v>5</v>
      </c>
      <c r="J22" s="52" t="s">
        <v>6</v>
      </c>
      <c r="L22" s="4" t="s">
        <v>50</v>
      </c>
    </row>
    <row r="24" spans="2:12" x14ac:dyDescent="0.2">
      <c r="B24" s="5" t="s">
        <v>14</v>
      </c>
      <c r="C24" s="22"/>
      <c r="D24" s="15">
        <v>25000</v>
      </c>
      <c r="E24" s="15">
        <v>25000</v>
      </c>
      <c r="F24" s="15">
        <v>25000</v>
      </c>
      <c r="G24" s="15">
        <v>25000</v>
      </c>
      <c r="H24" s="15">
        <v>25000</v>
      </c>
      <c r="J24" s="53">
        <f t="shared" ref="J24:J29" si="3">SUM(C24:H24)</f>
        <v>125000</v>
      </c>
      <c r="L24" s="3" t="s">
        <v>59</v>
      </c>
    </row>
    <row r="25" spans="2:12" x14ac:dyDescent="0.2">
      <c r="B25" s="3" t="s">
        <v>13</v>
      </c>
      <c r="C25" s="22"/>
      <c r="D25" s="15">
        <v>5000</v>
      </c>
      <c r="E25" s="15">
        <v>5000</v>
      </c>
      <c r="F25" s="15">
        <v>5000</v>
      </c>
      <c r="G25" s="15">
        <v>5000</v>
      </c>
      <c r="H25" s="15">
        <v>5000</v>
      </c>
      <c r="J25" s="53">
        <f t="shared" si="3"/>
        <v>25000</v>
      </c>
      <c r="L25" s="3" t="s">
        <v>59</v>
      </c>
    </row>
    <row r="26" spans="2:12" x14ac:dyDescent="0.2">
      <c r="B26" s="3" t="s">
        <v>20</v>
      </c>
      <c r="C26" s="22"/>
      <c r="D26" s="15">
        <v>5000</v>
      </c>
      <c r="E26" s="15">
        <v>5000</v>
      </c>
      <c r="F26" s="15">
        <v>5000</v>
      </c>
      <c r="G26" s="15">
        <v>5000</v>
      </c>
      <c r="H26" s="15">
        <v>5000</v>
      </c>
      <c r="J26" s="53">
        <f t="shared" si="3"/>
        <v>25000</v>
      </c>
      <c r="L26" s="3" t="s">
        <v>59</v>
      </c>
    </row>
    <row r="27" spans="2:12" x14ac:dyDescent="0.2">
      <c r="B27" s="3" t="s">
        <v>19</v>
      </c>
      <c r="C27" s="22"/>
      <c r="D27" s="15">
        <v>0</v>
      </c>
      <c r="E27" s="15">
        <v>0</v>
      </c>
      <c r="F27" s="15">
        <v>0</v>
      </c>
      <c r="G27" s="15">
        <v>0</v>
      </c>
      <c r="H27" s="15">
        <v>0</v>
      </c>
      <c r="J27" s="53">
        <f t="shared" si="3"/>
        <v>0</v>
      </c>
      <c r="L27" s="3" t="s">
        <v>59</v>
      </c>
    </row>
    <row r="28" spans="2:12" x14ac:dyDescent="0.2">
      <c r="B28" s="3" t="s">
        <v>18</v>
      </c>
      <c r="C28" s="22"/>
      <c r="D28" s="15">
        <v>0</v>
      </c>
      <c r="E28" s="15">
        <v>0</v>
      </c>
      <c r="F28" s="15">
        <v>0</v>
      </c>
      <c r="G28" s="15">
        <v>0</v>
      </c>
      <c r="H28" s="15">
        <v>0</v>
      </c>
      <c r="J28" s="53">
        <f t="shared" si="3"/>
        <v>0</v>
      </c>
      <c r="L28" s="3" t="s">
        <v>59</v>
      </c>
    </row>
    <row r="29" spans="2:12" x14ac:dyDescent="0.2">
      <c r="B29" s="3" t="s">
        <v>17</v>
      </c>
      <c r="C29" s="22"/>
      <c r="D29" s="15">
        <v>0</v>
      </c>
      <c r="E29" s="15">
        <v>0</v>
      </c>
      <c r="F29" s="15">
        <v>0</v>
      </c>
      <c r="G29" s="15">
        <v>0</v>
      </c>
      <c r="H29" s="15">
        <v>0</v>
      </c>
      <c r="J29" s="53">
        <f t="shared" si="3"/>
        <v>0</v>
      </c>
      <c r="L29" s="3" t="s">
        <v>59</v>
      </c>
    </row>
    <row r="30" spans="2:12" x14ac:dyDescent="0.2">
      <c r="C30" s="3"/>
      <c r="D30" s="3"/>
      <c r="E30" s="3"/>
      <c r="F30" s="3"/>
      <c r="G30" s="3"/>
      <c r="H30" s="3"/>
    </row>
    <row r="31" spans="2:12" x14ac:dyDescent="0.2">
      <c r="B31" s="5" t="s">
        <v>15</v>
      </c>
      <c r="C31" s="3"/>
      <c r="D31" s="3"/>
      <c r="E31" s="3"/>
      <c r="F31" s="3"/>
      <c r="G31" s="3"/>
      <c r="H31" s="3"/>
    </row>
    <row r="32" spans="2:12" x14ac:dyDescent="0.2">
      <c r="B32" s="3" t="s">
        <v>21</v>
      </c>
      <c r="C32" s="22"/>
      <c r="D32" s="15">
        <v>0</v>
      </c>
      <c r="E32" s="15">
        <v>0</v>
      </c>
      <c r="F32" s="15">
        <v>0</v>
      </c>
      <c r="G32" s="15">
        <v>0</v>
      </c>
      <c r="H32" s="15">
        <v>0</v>
      </c>
      <c r="J32" s="53">
        <f t="shared" ref="J32:J39" si="4">SUM(C32:H32)</f>
        <v>0</v>
      </c>
      <c r="L32" s="3" t="s">
        <v>59</v>
      </c>
    </row>
    <row r="33" spans="2:12" x14ac:dyDescent="0.2">
      <c r="B33" s="3" t="s">
        <v>22</v>
      </c>
      <c r="C33" s="22"/>
      <c r="D33" s="15">
        <v>0</v>
      </c>
      <c r="E33" s="15">
        <v>0</v>
      </c>
      <c r="F33" s="15">
        <v>0</v>
      </c>
      <c r="G33" s="15">
        <v>0</v>
      </c>
      <c r="H33" s="15">
        <v>0</v>
      </c>
      <c r="J33" s="53">
        <f t="shared" si="4"/>
        <v>0</v>
      </c>
      <c r="L33" s="3" t="s">
        <v>59</v>
      </c>
    </row>
    <row r="34" spans="2:12" x14ac:dyDescent="0.2">
      <c r="B34" s="3" t="s">
        <v>23</v>
      </c>
      <c r="C34" s="22"/>
      <c r="D34" s="15">
        <v>0</v>
      </c>
      <c r="E34" s="15">
        <v>0</v>
      </c>
      <c r="F34" s="15">
        <v>0</v>
      </c>
      <c r="G34" s="15">
        <v>0</v>
      </c>
      <c r="H34" s="15">
        <v>0</v>
      </c>
      <c r="J34" s="53">
        <f t="shared" si="4"/>
        <v>0</v>
      </c>
      <c r="L34" s="3" t="s">
        <v>59</v>
      </c>
    </row>
    <row r="35" spans="2:12" x14ac:dyDescent="0.2">
      <c r="B35" s="3" t="s">
        <v>24</v>
      </c>
      <c r="C35" s="22"/>
      <c r="D35" s="15">
        <v>0</v>
      </c>
      <c r="E35" s="15">
        <v>0</v>
      </c>
      <c r="F35" s="15">
        <v>0</v>
      </c>
      <c r="G35" s="15">
        <v>0</v>
      </c>
      <c r="H35" s="15">
        <v>0</v>
      </c>
      <c r="J35" s="53">
        <f t="shared" si="4"/>
        <v>0</v>
      </c>
      <c r="L35" s="3" t="s">
        <v>59</v>
      </c>
    </row>
    <row r="36" spans="2:12" x14ac:dyDescent="0.2">
      <c r="B36" s="3" t="s">
        <v>25</v>
      </c>
      <c r="C36" s="22"/>
      <c r="D36" s="15">
        <v>0</v>
      </c>
      <c r="E36" s="15">
        <v>0</v>
      </c>
      <c r="F36" s="15">
        <v>0</v>
      </c>
      <c r="G36" s="15">
        <v>0</v>
      </c>
      <c r="H36" s="15">
        <v>0</v>
      </c>
      <c r="J36" s="53">
        <f t="shared" si="4"/>
        <v>0</v>
      </c>
      <c r="L36" s="3" t="s">
        <v>59</v>
      </c>
    </row>
    <row r="37" spans="2:12" x14ac:dyDescent="0.2">
      <c r="C37" s="22"/>
      <c r="D37" s="15">
        <v>0</v>
      </c>
      <c r="E37" s="15">
        <v>0</v>
      </c>
      <c r="F37" s="15">
        <v>0</v>
      </c>
      <c r="G37" s="15">
        <v>0</v>
      </c>
      <c r="H37" s="15">
        <v>0</v>
      </c>
      <c r="J37" s="53">
        <f t="shared" si="4"/>
        <v>0</v>
      </c>
      <c r="L37" s="3" t="s">
        <v>59</v>
      </c>
    </row>
    <row r="38" spans="2:12" x14ac:dyDescent="0.2">
      <c r="B38" s="5" t="s">
        <v>16</v>
      </c>
      <c r="C38" s="3"/>
      <c r="D38" s="3"/>
      <c r="E38" s="3"/>
      <c r="F38" s="3"/>
      <c r="G38" s="3"/>
      <c r="H38" s="3"/>
    </row>
    <row r="39" spans="2:12" x14ac:dyDescent="0.2">
      <c r="B39" s="3" t="s">
        <v>26</v>
      </c>
      <c r="C39" s="22"/>
      <c r="D39" s="15">
        <v>0</v>
      </c>
      <c r="E39" s="15">
        <v>0</v>
      </c>
      <c r="F39" s="15">
        <v>0</v>
      </c>
      <c r="G39" s="15">
        <v>0</v>
      </c>
      <c r="H39" s="15">
        <v>0</v>
      </c>
      <c r="J39" s="53">
        <f t="shared" si="4"/>
        <v>0</v>
      </c>
      <c r="L39" s="3" t="s">
        <v>59</v>
      </c>
    </row>
    <row r="40" spans="2:12" x14ac:dyDescent="0.2">
      <c r="C40" s="14"/>
      <c r="D40" s="14"/>
      <c r="E40" s="14"/>
      <c r="F40" s="14"/>
      <c r="G40" s="14"/>
      <c r="H40" s="14"/>
    </row>
    <row r="41" spans="2:12" x14ac:dyDescent="0.2">
      <c r="B41" s="8" t="s">
        <v>27</v>
      </c>
      <c r="C41" s="19"/>
      <c r="D41" s="19">
        <f>SUM(D23:D40)</f>
        <v>35000</v>
      </c>
      <c r="E41" s="19">
        <f>SUM(E23:E40)</f>
        <v>35000</v>
      </c>
      <c r="F41" s="19">
        <f t="shared" ref="F41:H41" si="5">SUM(F23:F40)</f>
        <v>35000</v>
      </c>
      <c r="G41" s="19">
        <f t="shared" si="5"/>
        <v>35000</v>
      </c>
      <c r="H41" s="19">
        <f t="shared" si="5"/>
        <v>35000</v>
      </c>
      <c r="J41" s="55">
        <f>SUM(C41:H41)</f>
        <v>175000</v>
      </c>
    </row>
    <row r="42" spans="2:12" x14ac:dyDescent="0.2">
      <c r="B42" s="5"/>
      <c r="C42" s="20"/>
      <c r="D42" s="20"/>
    </row>
    <row r="43" spans="2:12" x14ac:dyDescent="0.2">
      <c r="C43" s="21"/>
      <c r="D43" s="21"/>
    </row>
    <row r="44" spans="2:12" x14ac:dyDescent="0.2">
      <c r="E44" s="18"/>
    </row>
  </sheetData>
  <pageMargins left="0.7" right="0.7" top="0.75" bottom="0.75" header="0.3" footer="0.3"/>
  <pageSetup paperSize="8" orientation="landscape" horizontalDpi="0" verticalDpi="0" copies="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25793-7FA3-834A-B33A-52F5DB489060}">
  <dimension ref="B2:J30"/>
  <sheetViews>
    <sheetView zoomScale="75" workbookViewId="0">
      <selection activeCell="D21" sqref="D21:H21"/>
    </sheetView>
  </sheetViews>
  <sheetFormatPr baseColWidth="10" defaultRowHeight="16" x14ac:dyDescent="0.2"/>
  <cols>
    <col min="1" max="1" width="2.42578125" style="3" customWidth="1"/>
    <col min="2" max="2" width="62.42578125" style="3" customWidth="1"/>
    <col min="3" max="8" width="20.7109375" style="12" customWidth="1"/>
    <col min="9" max="9" width="6" style="3" customWidth="1"/>
    <col min="10" max="10" width="20.7109375" style="12" customWidth="1"/>
    <col min="11" max="16384" width="10.7109375" style="3"/>
  </cols>
  <sheetData>
    <row r="2" spans="2:10" ht="25" x14ac:dyDescent="0.25">
      <c r="B2" s="2" t="s">
        <v>48</v>
      </c>
    </row>
    <row r="4" spans="2:10" s="4" customFormat="1" x14ac:dyDescent="0.2">
      <c r="B4" s="4" t="s">
        <v>28</v>
      </c>
      <c r="C4" s="13" t="s">
        <v>106</v>
      </c>
      <c r="D4" s="13" t="s">
        <v>1</v>
      </c>
      <c r="E4" s="13" t="s">
        <v>2</v>
      </c>
      <c r="F4" s="13" t="s">
        <v>3</v>
      </c>
      <c r="G4" s="13" t="s">
        <v>4</v>
      </c>
      <c r="H4" s="13" t="s">
        <v>5</v>
      </c>
      <c r="J4" s="13" t="s">
        <v>6</v>
      </c>
    </row>
    <row r="5" spans="2:10" x14ac:dyDescent="0.2">
      <c r="C5" s="14"/>
      <c r="D5" s="14"/>
    </row>
    <row r="6" spans="2:10" x14ac:dyDescent="0.2">
      <c r="B6" s="5" t="s">
        <v>107</v>
      </c>
      <c r="C6" s="14"/>
      <c r="D6" s="14"/>
    </row>
    <row r="7" spans="2:10" ht="17" x14ac:dyDescent="0.2">
      <c r="B7" s="6" t="s">
        <v>30</v>
      </c>
      <c r="C7" s="22">
        <v>0</v>
      </c>
      <c r="D7" s="15">
        <v>750000</v>
      </c>
      <c r="E7" s="15">
        <v>1050000</v>
      </c>
      <c r="F7" s="15">
        <v>1050000</v>
      </c>
      <c r="G7" s="15">
        <v>1050000</v>
      </c>
      <c r="H7" s="15">
        <v>900000</v>
      </c>
      <c r="J7" s="23">
        <f t="shared" ref="J7:J9" si="0">SUM(C7:H7)</f>
        <v>4800000</v>
      </c>
    </row>
    <row r="8" spans="2:10" ht="17" x14ac:dyDescent="0.2">
      <c r="B8" s="6" t="s">
        <v>31</v>
      </c>
      <c r="C8" s="22">
        <v>0</v>
      </c>
      <c r="D8" s="15">
        <v>0</v>
      </c>
      <c r="E8" s="15">
        <v>0</v>
      </c>
      <c r="F8" s="15">
        <v>0</v>
      </c>
      <c r="G8" s="15">
        <v>0</v>
      </c>
      <c r="H8" s="15">
        <v>0</v>
      </c>
      <c r="J8" s="23">
        <f t="shared" si="0"/>
        <v>0</v>
      </c>
    </row>
    <row r="9" spans="2:10" s="5" customFormat="1" ht="17" x14ac:dyDescent="0.2">
      <c r="B9" s="6" t="s">
        <v>32</v>
      </c>
      <c r="C9" s="22">
        <v>0</v>
      </c>
      <c r="D9" s="15">
        <v>0</v>
      </c>
      <c r="E9" s="15">
        <v>0</v>
      </c>
      <c r="F9" s="15">
        <v>0</v>
      </c>
      <c r="G9" s="15">
        <v>0</v>
      </c>
      <c r="H9" s="15">
        <v>0</v>
      </c>
      <c r="J9" s="23">
        <f t="shared" si="0"/>
        <v>0</v>
      </c>
    </row>
    <row r="10" spans="2:10" s="5" customFormat="1" x14ac:dyDescent="0.2">
      <c r="B10" s="6"/>
      <c r="C10" s="6"/>
      <c r="D10" s="6"/>
      <c r="E10" s="6"/>
      <c r="F10" s="6"/>
      <c r="G10" s="6"/>
      <c r="H10" s="6"/>
      <c r="J10" s="23"/>
    </row>
    <row r="11" spans="2:10" s="5" customFormat="1" ht="17" x14ac:dyDescent="0.2">
      <c r="B11" s="50" t="s">
        <v>108</v>
      </c>
      <c r="C11" s="6"/>
      <c r="D11" s="6"/>
      <c r="E11" s="6"/>
      <c r="F11" s="6"/>
      <c r="G11" s="6"/>
      <c r="H11" s="6"/>
      <c r="J11" s="23"/>
    </row>
    <row r="12" spans="2:10" s="5" customFormat="1" ht="17" x14ac:dyDescent="0.2">
      <c r="B12" s="6" t="s">
        <v>110</v>
      </c>
      <c r="C12" s="89">
        <v>0.4</v>
      </c>
      <c r="D12" s="89">
        <f>C12</f>
        <v>0.4</v>
      </c>
      <c r="E12" s="89">
        <f t="shared" ref="E12:H12" si="1">D12</f>
        <v>0.4</v>
      </c>
      <c r="F12" s="89">
        <f t="shared" si="1"/>
        <v>0.4</v>
      </c>
      <c r="G12" s="89">
        <f t="shared" si="1"/>
        <v>0.4</v>
      </c>
      <c r="H12" s="89">
        <f t="shared" si="1"/>
        <v>0.4</v>
      </c>
      <c r="J12" s="23"/>
    </row>
    <row r="13" spans="2:10" s="5" customFormat="1" ht="17" x14ac:dyDescent="0.2">
      <c r="B13" s="6" t="s">
        <v>109</v>
      </c>
      <c r="C13" s="22">
        <f>C12*SUM(C7:C9)</f>
        <v>0</v>
      </c>
      <c r="D13" s="22">
        <f t="shared" ref="D13:H13" si="2">D12*SUM(D7:D9)</f>
        <v>300000</v>
      </c>
      <c r="E13" s="22">
        <f t="shared" si="2"/>
        <v>420000</v>
      </c>
      <c r="F13" s="22">
        <f t="shared" si="2"/>
        <v>420000</v>
      </c>
      <c r="G13" s="22">
        <f t="shared" si="2"/>
        <v>420000</v>
      </c>
      <c r="H13" s="22">
        <f t="shared" si="2"/>
        <v>360000</v>
      </c>
      <c r="J13" s="23">
        <f t="shared" ref="J13" si="3">SUM(C13:H13)</f>
        <v>1920000</v>
      </c>
    </row>
    <row r="14" spans="2:10" x14ac:dyDescent="0.2">
      <c r="C14" s="16"/>
      <c r="D14" s="16"/>
      <c r="E14" s="16"/>
      <c r="F14" s="16"/>
      <c r="G14" s="16"/>
      <c r="H14" s="16"/>
    </row>
    <row r="15" spans="2:10" x14ac:dyDescent="0.2">
      <c r="B15" s="8" t="s">
        <v>111</v>
      </c>
      <c r="C15" s="24">
        <f>SUM(C7:C9)-C13</f>
        <v>0</v>
      </c>
      <c r="D15" s="24">
        <f t="shared" ref="D15:H15" si="4">SUM(D7:D9)-D13</f>
        <v>450000</v>
      </c>
      <c r="E15" s="24">
        <f t="shared" si="4"/>
        <v>630000</v>
      </c>
      <c r="F15" s="24">
        <f t="shared" si="4"/>
        <v>630000</v>
      </c>
      <c r="G15" s="24">
        <f t="shared" si="4"/>
        <v>630000</v>
      </c>
      <c r="H15" s="24">
        <f t="shared" si="4"/>
        <v>540000</v>
      </c>
      <c r="J15" s="24">
        <f>SUM(C15:H15)</f>
        <v>2880000</v>
      </c>
    </row>
    <row r="16" spans="2:10" x14ac:dyDescent="0.2">
      <c r="B16" s="7" t="s">
        <v>7</v>
      </c>
    </row>
    <row r="17" spans="2:10" x14ac:dyDescent="0.2">
      <c r="B17" s="7"/>
    </row>
    <row r="18" spans="2:10" x14ac:dyDescent="0.2">
      <c r="B18" s="7"/>
    </row>
    <row r="19" spans="2:10" s="4" customFormat="1" x14ac:dyDescent="0.2">
      <c r="B19" s="4" t="s">
        <v>29</v>
      </c>
      <c r="C19" s="13" t="s">
        <v>106</v>
      </c>
      <c r="D19" s="13" t="s">
        <v>1</v>
      </c>
      <c r="E19" s="13" t="s">
        <v>2</v>
      </c>
      <c r="F19" s="13" t="s">
        <v>3</v>
      </c>
      <c r="G19" s="13" t="s">
        <v>4</v>
      </c>
      <c r="H19" s="13" t="s">
        <v>5</v>
      </c>
      <c r="J19" s="13" t="s">
        <v>6</v>
      </c>
    </row>
    <row r="21" spans="2:10" x14ac:dyDescent="0.2">
      <c r="B21" s="3" t="s">
        <v>33</v>
      </c>
      <c r="C21" s="22">
        <v>0</v>
      </c>
      <c r="D21" s="15">
        <v>60000</v>
      </c>
      <c r="E21" s="15">
        <v>80000</v>
      </c>
      <c r="F21" s="15">
        <v>40000</v>
      </c>
      <c r="G21" s="15">
        <v>0</v>
      </c>
      <c r="H21" s="15">
        <v>0</v>
      </c>
      <c r="J21" s="23">
        <f t="shared" ref="J21:J25" si="5">SUM(C21:H21)</f>
        <v>180000</v>
      </c>
    </row>
    <row r="22" spans="2:10" x14ac:dyDescent="0.2">
      <c r="B22" s="3" t="s">
        <v>34</v>
      </c>
      <c r="C22" s="22">
        <v>0</v>
      </c>
      <c r="D22" s="15">
        <v>0</v>
      </c>
      <c r="E22" s="15">
        <v>0</v>
      </c>
      <c r="F22" s="15">
        <v>0</v>
      </c>
      <c r="G22" s="15">
        <v>0</v>
      </c>
      <c r="H22" s="15">
        <v>0</v>
      </c>
      <c r="J22" s="23">
        <f t="shared" si="5"/>
        <v>0</v>
      </c>
    </row>
    <row r="23" spans="2:10" x14ac:dyDescent="0.2">
      <c r="B23" s="3" t="s">
        <v>35</v>
      </c>
      <c r="C23" s="22">
        <v>0</v>
      </c>
      <c r="D23" s="15">
        <v>0</v>
      </c>
      <c r="E23" s="15">
        <v>0</v>
      </c>
      <c r="F23" s="15">
        <v>0</v>
      </c>
      <c r="G23" s="15">
        <v>0</v>
      </c>
      <c r="H23" s="15">
        <v>0</v>
      </c>
      <c r="J23" s="23">
        <f t="shared" si="5"/>
        <v>0</v>
      </c>
    </row>
    <row r="24" spans="2:10" x14ac:dyDescent="0.2">
      <c r="B24" s="3" t="s">
        <v>36</v>
      </c>
      <c r="C24" s="22">
        <v>0</v>
      </c>
      <c r="D24" s="15">
        <v>0</v>
      </c>
      <c r="E24" s="15">
        <v>0</v>
      </c>
      <c r="F24" s="15">
        <v>0</v>
      </c>
      <c r="G24" s="15">
        <v>0</v>
      </c>
      <c r="H24" s="15">
        <v>0</v>
      </c>
      <c r="J24" s="23">
        <f t="shared" si="5"/>
        <v>0</v>
      </c>
    </row>
    <row r="25" spans="2:10" x14ac:dyDescent="0.2">
      <c r="B25" s="3" t="s">
        <v>37</v>
      </c>
      <c r="C25" s="22">
        <v>0</v>
      </c>
      <c r="D25" s="15">
        <v>0</v>
      </c>
      <c r="E25" s="15">
        <v>0</v>
      </c>
      <c r="F25" s="15">
        <v>0</v>
      </c>
      <c r="G25" s="15">
        <v>0</v>
      </c>
      <c r="H25" s="15">
        <v>0</v>
      </c>
      <c r="J25" s="23">
        <f t="shared" si="5"/>
        <v>0</v>
      </c>
    </row>
    <row r="26" spans="2:10" x14ac:dyDescent="0.2">
      <c r="C26" s="14"/>
      <c r="D26" s="14"/>
      <c r="E26" s="14"/>
      <c r="F26" s="14"/>
      <c r="G26" s="14"/>
      <c r="H26" s="14"/>
    </row>
    <row r="27" spans="2:10" x14ac:dyDescent="0.2">
      <c r="B27" s="8" t="s">
        <v>112</v>
      </c>
      <c r="C27" s="19">
        <f t="shared" ref="C27:H27" si="6">SUM(C20:C26)</f>
        <v>0</v>
      </c>
      <c r="D27" s="19">
        <f t="shared" si="6"/>
        <v>60000</v>
      </c>
      <c r="E27" s="19">
        <f t="shared" si="6"/>
        <v>80000</v>
      </c>
      <c r="F27" s="19">
        <f t="shared" si="6"/>
        <v>40000</v>
      </c>
      <c r="G27" s="19">
        <f t="shared" si="6"/>
        <v>0</v>
      </c>
      <c r="H27" s="19">
        <f t="shared" si="6"/>
        <v>0</v>
      </c>
      <c r="J27" s="24">
        <f>SUM(C27:H27)</f>
        <v>180000</v>
      </c>
    </row>
    <row r="28" spans="2:10" x14ac:dyDescent="0.2">
      <c r="B28" s="5"/>
      <c r="C28" s="20"/>
      <c r="D28" s="20"/>
    </row>
    <row r="29" spans="2:10" x14ac:dyDescent="0.2">
      <c r="C29" s="21"/>
      <c r="D29" s="21"/>
    </row>
    <row r="30" spans="2:10" x14ac:dyDescent="0.2">
      <c r="E30" s="18"/>
    </row>
  </sheetData>
  <pageMargins left="0.7" right="0.7" top="0.75" bottom="0.75" header="0.3" footer="0.3"/>
  <pageSetup paperSize="8" orientation="landscape" horizontalDpi="0" verticalDpi="0" copies="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Slideworks guide</vt:lpstr>
      <vt:lpstr>Project overview</vt:lpstr>
      <vt:lpstr>Project financials</vt:lpstr>
      <vt:lpstr>Project costs</vt:lpstr>
      <vt:lpstr>Project benefits</vt:lpstr>
      <vt:lpstr>'Project financials'!Print_Area</vt:lpstr>
    </vt:vector>
  </TitlesOfParts>
  <Manager>Slideworks</Manager>
  <Company>Slideworks ApS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Slideworks detailed business case template</dc:title>
  <dc:subject>Business case</dc:subject>
  <dc:creator>Slideworks</dc:creator>
  <cp:keywords>business case, business development, financial analysis</cp:keywords>
  <dc:description>Copyright of Slideworks.io. Any unauthorized distribution prohibited. See our full terms and conditions at https://slideworks.io/terms </dc:description>
  <cp:lastModifiedBy>Alexandra Kampmann</cp:lastModifiedBy>
  <dcterms:created xsi:type="dcterms:W3CDTF">2025-02-05T08:51:14Z</dcterms:created>
  <dcterms:modified xsi:type="dcterms:W3CDTF">2025-03-05T11:54:45Z</dcterms:modified>
  <cp:category>Business case</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-594971452</vt:i4>
  </property>
  <property fmtid="{D5CDD505-2E9C-101B-9397-08002B2CF9AE}" pid="3" name="_NewReviewCycle">
    <vt:lpwstr/>
  </property>
  <property fmtid="{D5CDD505-2E9C-101B-9397-08002B2CF9AE}" pid="4" name="_PreviousAdHocReviewCycleID">
    <vt:i4>-494923304</vt:i4>
  </property>
  <property fmtid="{D5CDD505-2E9C-101B-9397-08002B2CF9AE}" pid="5" name="_ReviewingToolsShownOnce">
    <vt:lpwstr/>
  </property>
</Properties>
</file>