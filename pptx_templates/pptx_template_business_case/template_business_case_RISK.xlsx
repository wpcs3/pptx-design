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alexandrahazardkampmann/Desktop/SLIDEWORKS/9. Slideworks - Simple Business Case/Template files/Excel files/"/>
    </mc:Choice>
  </mc:AlternateContent>
  <xr:revisionPtr revIDLastSave="0" documentId="13_ncr:1_{D4CED0CE-68F7-6A42-9A12-950325878765}" xr6:coauthVersionLast="47" xr6:coauthVersionMax="47" xr10:uidLastSave="{00000000-0000-0000-0000-000000000000}"/>
  <bookViews>
    <workbookView xWindow="41360" yWindow="2680" windowWidth="28800" windowHeight="17500" xr2:uid="{E29BBAB9-38B9-484B-93DB-C11B6561C4F5}"/>
  </bookViews>
  <sheets>
    <sheet name="Slideworks guide" sheetId="2" r:id="rId1"/>
    <sheet name="Project overview" sheetId="3" r:id="rId2"/>
    <sheet name="Risks" sheetId="1" r:id="rId3"/>
    <sheet name="Defini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K19" i="1"/>
  <c r="M19" i="1" s="1"/>
  <c r="K18" i="1"/>
  <c r="M18" i="1" s="1"/>
  <c r="K17" i="1"/>
  <c r="M17" i="1" s="1"/>
  <c r="K16" i="1"/>
  <c r="M16" i="1" s="1"/>
  <c r="K15" i="1"/>
  <c r="M15" i="1" s="1"/>
  <c r="K14" i="1"/>
  <c r="M14" i="1" s="1"/>
  <c r="K13" i="1"/>
  <c r="M13" i="1" s="1"/>
  <c r="K12" i="1"/>
  <c r="M12" i="1" s="1"/>
  <c r="K11" i="1"/>
  <c r="M11" i="1" s="1"/>
  <c r="K10" i="1"/>
  <c r="M10" i="1" s="1"/>
  <c r="K9" i="1"/>
  <c r="M9" i="1" s="1"/>
  <c r="K8" i="1"/>
  <c r="M8" i="1" s="1"/>
  <c r="K7" i="1"/>
  <c r="M7" i="1" s="1"/>
  <c r="K6" i="1"/>
  <c r="M6" i="1" s="1"/>
  <c r="K5" i="1"/>
  <c r="M5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C23" i="1" l="1" a="1"/>
  <c r="C23" i="1" s="1"/>
  <c r="G27" i="1" a="1"/>
  <c r="G27" i="1" s="1"/>
  <c r="C27" i="1" a="1"/>
  <c r="C27" i="1" s="1"/>
  <c r="D26" i="1" a="1"/>
  <c r="D26" i="1" s="1"/>
  <c r="E25" i="1" a="1"/>
  <c r="E25" i="1" s="1"/>
  <c r="F24" i="1" a="1"/>
  <c r="F24" i="1" s="1"/>
  <c r="G23" i="1" a="1"/>
  <c r="G23" i="1" s="1"/>
  <c r="F27" i="1" a="1"/>
  <c r="F27" i="1" s="1"/>
  <c r="G26" i="1" a="1"/>
  <c r="G26" i="1" s="1"/>
  <c r="C26" i="1" a="1"/>
  <c r="C26" i="1" s="1"/>
  <c r="D25" i="1" a="1"/>
  <c r="D25" i="1" s="1"/>
  <c r="E24" i="1" a="1"/>
  <c r="E24" i="1" s="1"/>
  <c r="F23" i="1" a="1"/>
  <c r="F23" i="1" s="1"/>
  <c r="E27" i="1" a="1"/>
  <c r="E27" i="1" s="1"/>
  <c r="F26" i="1" a="1"/>
  <c r="F26" i="1" s="1"/>
  <c r="G25" i="1" a="1"/>
  <c r="G25" i="1" s="1"/>
  <c r="C25" i="1" a="1"/>
  <c r="C25" i="1" s="1"/>
  <c r="D24" i="1" a="1"/>
  <c r="D24" i="1" s="1"/>
  <c r="E23" i="1" a="1"/>
  <c r="E23" i="1" s="1"/>
  <c r="D27" i="1" a="1"/>
  <c r="D27" i="1" s="1"/>
  <c r="E26" i="1" a="1"/>
  <c r="E26" i="1" s="1"/>
  <c r="G24" i="1" a="1"/>
  <c r="G24" i="1" s="1"/>
  <c r="C24" i="1" a="1"/>
  <c r="C24" i="1" s="1"/>
  <c r="D23" i="1" a="1"/>
  <c r="D23" i="1" s="1"/>
  <c r="F25" i="1" a="1"/>
  <c r="F2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<sst xmlns="http://schemas.openxmlformats.org/spreadsheetml/2006/main" count="137" uniqueCount="76">
  <si>
    <t>How to use this Excel model:</t>
  </si>
  <si>
    <t>Formatting:</t>
  </si>
  <si>
    <t>Light yellow cells are input fields</t>
  </si>
  <si>
    <t>All other cells are calculated</t>
  </si>
  <si>
    <t>Project description</t>
  </si>
  <si>
    <t>Insert a brief description of the project</t>
  </si>
  <si>
    <t>Project details</t>
  </si>
  <si>
    <t>Project name:</t>
  </si>
  <si>
    <t>[Insert name of project]</t>
  </si>
  <si>
    <t>Project category:</t>
  </si>
  <si>
    <t>[Insert category, if relevant]</t>
  </si>
  <si>
    <t>Business unit/team:</t>
  </si>
  <si>
    <t>[Insert business unit/team, if relevant]</t>
  </si>
  <si>
    <t>Model version:</t>
  </si>
  <si>
    <t>Date:</t>
  </si>
  <si>
    <t>[Insert date]</t>
  </si>
  <si>
    <t>Model prepared by:</t>
  </si>
  <si>
    <t>[Insert name and title]</t>
  </si>
  <si>
    <t>Project leader:</t>
  </si>
  <si>
    <t>Project sponsor:</t>
  </si>
  <si>
    <t>Risk</t>
  </si>
  <si>
    <t>Risks</t>
  </si>
  <si>
    <t>Risk number</t>
  </si>
  <si>
    <t>Impact</t>
  </si>
  <si>
    <t>Likelihood</t>
  </si>
  <si>
    <t>Risk type</t>
  </si>
  <si>
    <t>Category</t>
  </si>
  <si>
    <t>Mitigation strategy</t>
  </si>
  <si>
    <t>Cost if risk happens</t>
  </si>
  <si>
    <t>Value of risk</t>
  </si>
  <si>
    <t>Mitigation costs</t>
  </si>
  <si>
    <t>ROI on mitigation</t>
  </si>
  <si>
    <t>Use this Excel to list and manage any risks associated with your proposed solution:
Step 1: Identify and list potential risks that may affect your project (e.g., cost overruns, strategic risks, operational risks, brand and reputation risks etc.) -&gt; Column C
Step 2: Analyze each risk in terms of likelihood and impact (including financial impact, if possible) -&gt; Column D, E, I, J
Step 3: Rank risks in risk matrix to get overview of risk level associated with project
Step 4: Recommend actions to avoid, mitigate, transfer or accept risks (and calculate ROI on mitigation action, if possible) -&gt; Column H, K, L
Step 5: Monitor and review risks during the implementation of the project</t>
  </si>
  <si>
    <t>Definitions</t>
  </si>
  <si>
    <t>Score</t>
  </si>
  <si>
    <t>Definition</t>
  </si>
  <si>
    <t>90% or greater chance of occurrence over life of asset or project</t>
  </si>
  <si>
    <t>Likely</t>
  </si>
  <si>
    <t>65% up to 90% chance of occurrence over life of asset or project</t>
  </si>
  <si>
    <t>35% up to 65% chance of occurrence over life of asset or project</t>
  </si>
  <si>
    <t>Unlikely</t>
  </si>
  <si>
    <t>10% up to 35% chance of occurrence over life of asset or project</t>
  </si>
  <si>
    <t>&lt;10% chance of occurrence over life of asset or project</t>
  </si>
  <si>
    <t>Catastrophic</t>
  </si>
  <si>
    <t>Major</t>
  </si>
  <si>
    <t>• Major blowout of CAPEX costs - 10% to 20% 
• Market share not achieved 
• Project delayed by x months</t>
  </si>
  <si>
    <t>• Operating costs increase &gt; 20%
• Exchange rate fluctuations
• Staff morale problems and increase in turnover</t>
  </si>
  <si>
    <t>• Operating costs increase - 0% to 20%</t>
  </si>
  <si>
    <t>Project</t>
  </si>
  <si>
    <t>Risk category</t>
  </si>
  <si>
    <t>Outcomes and benefits</t>
  </si>
  <si>
    <t>Likelihood / Impact</t>
  </si>
  <si>
    <t>Mitigation strategy required</t>
  </si>
  <si>
    <t>Critical</t>
  </si>
  <si>
    <t>Severe</t>
  </si>
  <si>
    <t>Disruptive</t>
  </si>
  <si>
    <t>Serious</t>
  </si>
  <si>
    <t>Controlled</t>
  </si>
  <si>
    <t>Frequent</t>
  </si>
  <si>
    <t>Occasional</t>
  </si>
  <si>
    <t>Remote</t>
  </si>
  <si>
    <t>Neglible</t>
  </si>
  <si>
    <t>Marginal</t>
  </si>
  <si>
    <t>E.g., Project delayed by less than xx months</t>
  </si>
  <si>
    <t>Significant damage or impact on [insert]</t>
  </si>
  <si>
    <t>Risks in delivering the business case recommendation as a project in full to scope and budget, and on time.</t>
  </si>
  <si>
    <t>Risks in realizing the business case outcomes and benefits</t>
  </si>
  <si>
    <t>Business and organizational risks for the project including reliance on suppliers and partners, employee risks etc.</t>
  </si>
  <si>
    <t>Wider business</t>
  </si>
  <si>
    <t>Accept, reduce, share, or avoid risk</t>
  </si>
  <si>
    <t>Accept risk</t>
  </si>
  <si>
    <t>Reduce, share, or avoid risk</t>
  </si>
  <si>
    <t>Likelihood in %</t>
  </si>
  <si>
    <t>[Insert risk]</t>
  </si>
  <si>
    <t>[Insert type of risk e.g., operational]</t>
  </si>
  <si>
    <t>[Choose category]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</si>
</sst>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8" formatCode="_([$$-409]* #,##0_);_([$$-409]* \(#,##0\);_([$$-409]* &quot;-&quot;??_);_(@_)"/>
  </numFmts>
  <fonts count="14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0"/>
      <name val="Arial"/>
      <family val="2"/>
      <scheme val="minor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2"/>
      <color theme="4"/>
      <name val="Arial (Body)"/>
    </font>
    <font>
      <b/>
      <sz val="20"/>
      <color theme="0"/>
      <name val="Arial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Arial (Body)"/>
    </font>
    <font>
      <sz val="12"/>
      <color theme="1"/>
      <name val="Arial (Body)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-4.9989318521683403E-2"/>
        <bgColor indexed="64"/>
      </patternFill>
    </fill>
    <fill>
      <patternFill patternType="solid">
        <fgColor rgb="FFF0ACAD"/>
        <bgColor indexed="64"/>
      </patternFill>
    </fill>
    <fill>
      <patternFill patternType="solid">
        <fgColor rgb="FFF9D3D2"/>
        <bgColor indexed="64"/>
      </patternFill>
    </fill>
    <fill>
      <patternFill patternType="solid">
        <fgColor rgb="FFFEF4CD"/>
        <bgColor indexed="64"/>
      </patternFill>
    </fill>
    <fill>
      <patternFill patternType="solid">
        <fgColor rgb="FFEFF7E3"/>
        <bgColor indexed="64"/>
      </patternFill>
    </fill>
    <fill>
      <patternFill patternType="solid">
        <fgColor rgb="FFD8EED3"/>
        <bgColor indexed="64"/>
      </patternFill>
    </fill>
  </fills>
  <borders count="23">
    <border>
      <left/>
      <right/>
      <top/>
      <bottom/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slantDashDot">
        <color indexed="64"/>
      </right>
      <top style="slantDashDot">
        <color indexed="64"/>
      </top>
      <bottom/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slantDashDot">
        <color indexed="64"/>
      </right>
      <top/>
      <bottom style="slantDashDot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7" fillId="0" borderId="0"/>
    <xf numFmtId="0" fontId="8" fillId="0" borderId="0"/>
    <xf numFmtId="0" fontId="7" fillId="0" borderId="0"/>
  </cellStyleXfs>
  <cellXfs count="78">
    <xf numFmtId="0" fontId="0" fillId="0" borderId="0" xfId="0"/>
    <xf numFmtId="0" fontId="4" fillId="0" borderId="0" xfId="0" applyFont="1" applyAlignment="1">
      <alignment wrapText="1"/>
    </xf>
    <xf numFmtId="0" fontId="4" fillId="0" borderId="0" xfId="0" applyFont="1"/>
    <xf numFmtId="0" fontId="2" fillId="3" borderId="1" xfId="0" applyFont="1" applyFill="1" applyBorder="1" applyAlignment="1">
      <alignment vertical="center" wrapText="1"/>
    </xf>
    <xf numFmtId="0" fontId="4" fillId="0" borderId="2" xfId="0" applyFont="1" applyBorder="1"/>
    <xf numFmtId="0" fontId="4" fillId="0" borderId="3" xfId="0" applyFont="1" applyBorder="1"/>
    <xf numFmtId="0" fontId="4" fillId="3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vertical="center" wrapText="1"/>
    </xf>
    <xf numFmtId="0" fontId="2" fillId="3" borderId="11" xfId="0" applyFont="1" applyFill="1" applyBorder="1" applyAlignment="1">
      <alignment wrapText="1"/>
    </xf>
    <xf numFmtId="0" fontId="4" fillId="3" borderId="12" xfId="0" applyFont="1" applyFill="1" applyBorder="1" applyAlignment="1">
      <alignment wrapText="1"/>
    </xf>
    <xf numFmtId="0" fontId="4" fillId="4" borderId="12" xfId="0" applyFont="1" applyFill="1" applyBorder="1" applyAlignment="1">
      <alignment wrapText="1"/>
    </xf>
    <xf numFmtId="0" fontId="4" fillId="3" borderId="9" xfId="0" applyFont="1" applyFill="1" applyBorder="1" applyAlignment="1">
      <alignment wrapText="1"/>
    </xf>
    <xf numFmtId="0" fontId="3" fillId="5" borderId="13" xfId="3" applyFont="1" applyFill="1" applyBorder="1" applyAlignment="1">
      <alignment horizontal="center" vertical="top"/>
    </xf>
    <xf numFmtId="0" fontId="3" fillId="5" borderId="14" xfId="3" applyFont="1" applyFill="1" applyBorder="1" applyAlignment="1">
      <alignment horizontal="center" vertical="top"/>
    </xf>
    <xf numFmtId="0" fontId="9" fillId="0" borderId="0" xfId="4" applyFont="1"/>
    <xf numFmtId="0" fontId="4" fillId="6" borderId="15" xfId="3" applyFont="1" applyFill="1" applyBorder="1" applyAlignment="1" applyProtection="1">
      <alignment horizontal="left" vertical="center" wrapText="1"/>
      <protection locked="0"/>
    </xf>
    <xf numFmtId="0" fontId="4" fillId="6" borderId="16" xfId="3" applyFont="1" applyFill="1" applyBorder="1" applyAlignment="1" applyProtection="1">
      <alignment horizontal="left" vertical="center" wrapText="1"/>
      <protection locked="0"/>
    </xf>
    <xf numFmtId="0" fontId="4" fillId="6" borderId="17" xfId="3" applyFont="1" applyFill="1" applyBorder="1" applyAlignment="1" applyProtection="1">
      <alignment horizontal="left" vertical="center" wrapText="1"/>
      <protection locked="0"/>
    </xf>
    <xf numFmtId="0" fontId="4" fillId="6" borderId="18" xfId="3" applyFont="1" applyFill="1" applyBorder="1" applyAlignment="1" applyProtection="1">
      <alignment horizontal="left" vertical="center" wrapText="1"/>
      <protection locked="0"/>
    </xf>
    <xf numFmtId="0" fontId="4" fillId="6" borderId="19" xfId="3" applyFont="1" applyFill="1" applyBorder="1" applyAlignment="1" applyProtection="1">
      <alignment horizontal="left" vertical="center" wrapText="1"/>
      <protection locked="0"/>
    </xf>
    <xf numFmtId="0" fontId="4" fillId="6" borderId="10" xfId="3" applyFont="1" applyFill="1" applyBorder="1" applyAlignment="1" applyProtection="1">
      <alignment horizontal="left" vertical="center" wrapText="1"/>
      <protection locked="0"/>
    </xf>
    <xf numFmtId="0" fontId="2" fillId="6" borderId="7" xfId="3" applyFont="1" applyFill="1" applyBorder="1" applyAlignment="1">
      <alignment vertical="center"/>
    </xf>
    <xf numFmtId="0" fontId="4" fillId="3" borderId="11" xfId="3" applyFont="1" applyFill="1" applyBorder="1" applyAlignment="1" applyProtection="1">
      <alignment vertical="center" wrapText="1"/>
      <protection locked="0"/>
    </xf>
    <xf numFmtId="0" fontId="4" fillId="3" borderId="7" xfId="3" applyFont="1" applyFill="1" applyBorder="1" applyAlignment="1" applyProtection="1">
      <alignment vertical="center"/>
      <protection locked="0"/>
    </xf>
    <xf numFmtId="164" fontId="4" fillId="3" borderId="7" xfId="3" applyNumberFormat="1" applyFont="1" applyFill="1" applyBorder="1" applyAlignment="1" applyProtection="1">
      <alignment horizontal="left" vertical="center"/>
      <protection locked="0"/>
    </xf>
    <xf numFmtId="15" fontId="4" fillId="3" borderId="7" xfId="3" applyNumberFormat="1" applyFont="1" applyFill="1" applyBorder="1" applyAlignment="1" applyProtection="1">
      <alignment horizontal="left" vertical="center"/>
      <protection locked="0"/>
    </xf>
    <xf numFmtId="0" fontId="2" fillId="6" borderId="11" xfId="3" applyFont="1" applyFill="1" applyBorder="1" applyAlignment="1">
      <alignment vertical="center" wrapText="1"/>
    </xf>
    <xf numFmtId="0" fontId="4" fillId="3" borderId="7" xfId="3" applyFont="1" applyFill="1" applyBorder="1" applyAlignment="1" applyProtection="1">
      <alignment vertical="center" wrapText="1"/>
      <protection locked="0"/>
    </xf>
    <xf numFmtId="0" fontId="2" fillId="6" borderId="7" xfId="3" applyFont="1" applyFill="1" applyBorder="1" applyAlignment="1">
      <alignment vertical="center" wrapText="1"/>
    </xf>
    <xf numFmtId="0" fontId="10" fillId="0" borderId="0" xfId="0" applyFont="1"/>
    <xf numFmtId="0" fontId="3" fillId="5" borderId="10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vertical="center" wrapText="1"/>
    </xf>
    <xf numFmtId="0" fontId="4" fillId="0" borderId="8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16" xfId="0" applyFont="1" applyBorder="1" applyAlignment="1">
      <alignment wrapText="1"/>
    </xf>
    <xf numFmtId="0" fontId="3" fillId="5" borderId="19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68" fontId="4" fillId="0" borderId="20" xfId="0" applyNumberFormat="1" applyFont="1" applyBorder="1" applyAlignment="1">
      <alignment wrapText="1"/>
    </xf>
    <xf numFmtId="9" fontId="4" fillId="0" borderId="20" xfId="1" applyFont="1" applyBorder="1" applyAlignment="1">
      <alignment wrapText="1"/>
    </xf>
    <xf numFmtId="9" fontId="4" fillId="0" borderId="15" xfId="1" applyFont="1" applyBorder="1" applyAlignment="1">
      <alignment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5" applyFont="1" applyFill="1" applyBorder="1"/>
    <xf numFmtId="0" fontId="6" fillId="0" borderId="0" xfId="2" applyFont="1" applyFill="1" applyBorder="1" applyAlignment="1">
      <alignment vertical="center"/>
    </xf>
    <xf numFmtId="0" fontId="5" fillId="0" borderId="0" xfId="2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1" fillId="5" borderId="0" xfId="2" applyFont="1" applyFill="1" applyBorder="1" applyAlignment="1">
      <alignment vertical="center"/>
    </xf>
    <xf numFmtId="0" fontId="6" fillId="6" borderId="0" xfId="2" applyFont="1" applyFill="1" applyBorder="1" applyAlignment="1">
      <alignment vertical="center"/>
    </xf>
    <xf numFmtId="0" fontId="6" fillId="6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vertical="center"/>
    </xf>
    <xf numFmtId="0" fontId="11" fillId="5" borderId="0" xfId="2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 wrapText="1"/>
    </xf>
    <xf numFmtId="0" fontId="6" fillId="6" borderId="0" xfId="0" applyFont="1" applyFill="1" applyBorder="1" applyAlignment="1">
      <alignment vertical="center" wrapText="1"/>
    </xf>
    <xf numFmtId="0" fontId="12" fillId="5" borderId="0" xfId="2" applyFont="1" applyFill="1" applyBorder="1" applyAlignment="1">
      <alignment vertical="center"/>
    </xf>
    <xf numFmtId="0" fontId="13" fillId="5" borderId="0" xfId="0" applyFont="1" applyFill="1"/>
    <xf numFmtId="0" fontId="4" fillId="6" borderId="0" xfId="0" applyFont="1" applyFill="1"/>
    <xf numFmtId="0" fontId="3" fillId="5" borderId="7" xfId="2" applyFont="1" applyFill="1" applyBorder="1" applyAlignment="1">
      <alignment horizontal="right" vertical="center" wrapText="1"/>
    </xf>
    <xf numFmtId="0" fontId="3" fillId="0" borderId="21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22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2" fillId="7" borderId="7" xfId="0" applyFont="1" applyFill="1" applyBorder="1" applyAlignment="1">
      <alignment horizontal="left" vertical="center" wrapText="1" indent="2"/>
    </xf>
    <xf numFmtId="0" fontId="2" fillId="8" borderId="7" xfId="0" applyFont="1" applyFill="1" applyBorder="1" applyAlignment="1">
      <alignment horizontal="left" vertical="center" wrapText="1" indent="2"/>
    </xf>
    <xf numFmtId="0" fontId="4" fillId="0" borderId="0" xfId="0" applyFont="1" applyFill="1"/>
    <xf numFmtId="0" fontId="2" fillId="10" borderId="7" xfId="0" applyFont="1" applyFill="1" applyBorder="1" applyAlignment="1">
      <alignment horizontal="left" vertical="center" wrapText="1" indent="2"/>
    </xf>
    <xf numFmtId="0" fontId="2" fillId="9" borderId="7" xfId="0" applyFont="1" applyFill="1" applyBorder="1" applyAlignment="1">
      <alignment horizontal="left" vertical="center" wrapText="1" indent="2"/>
    </xf>
    <xf numFmtId="0" fontId="2" fillId="11" borderId="7" xfId="0" applyFont="1" applyFill="1" applyBorder="1" applyAlignment="1">
      <alignment horizontal="left" vertical="center" wrapText="1" indent="2"/>
    </xf>
    <xf numFmtId="0" fontId="4" fillId="4" borderId="7" xfId="0" applyFont="1" applyFill="1" applyBorder="1" applyAlignment="1">
      <alignment wrapText="1"/>
    </xf>
    <xf numFmtId="0" fontId="4" fillId="4" borderId="11" xfId="0" applyFont="1" applyFill="1" applyBorder="1" applyAlignment="1">
      <alignment wrapText="1"/>
    </xf>
    <xf numFmtId="0" fontId="4" fillId="4" borderId="20" xfId="0" applyFont="1" applyFill="1" applyBorder="1" applyAlignment="1">
      <alignment wrapText="1"/>
    </xf>
    <xf numFmtId="9" fontId="4" fillId="4" borderId="7" xfId="0" applyNumberFormat="1" applyFont="1" applyFill="1" applyBorder="1" applyAlignment="1">
      <alignment wrapText="1"/>
    </xf>
    <xf numFmtId="168" fontId="4" fillId="4" borderId="20" xfId="0" applyNumberFormat="1" applyFont="1" applyFill="1" applyBorder="1" applyAlignment="1">
      <alignment wrapText="1"/>
    </xf>
    <xf numFmtId="0" fontId="4" fillId="4" borderId="15" xfId="0" applyFont="1" applyFill="1" applyBorder="1" applyAlignment="1">
      <alignment wrapText="1"/>
    </xf>
    <xf numFmtId="9" fontId="4" fillId="4" borderId="11" xfId="0" applyNumberFormat="1" applyFont="1" applyFill="1" applyBorder="1" applyAlignment="1">
      <alignment wrapText="1"/>
    </xf>
    <xf numFmtId="0" fontId="3" fillId="5" borderId="7" xfId="2" applyFont="1" applyFill="1" applyBorder="1" applyAlignment="1">
      <alignment horizontal="center" vertical="center"/>
    </xf>
  </cellXfs>
  <cellStyles count="6">
    <cellStyle name="60% - Accent6" xfId="2" builtinId="52"/>
    <cellStyle name="Normal" xfId="0" builtinId="0"/>
    <cellStyle name="Normal 2" xfId="4" xr:uid="{55D82BE9-802C-E54A-B1DA-A5F858D597AE}"/>
    <cellStyle name="Normal 2 2 2" xfId="3" xr:uid="{6B108EE8-66BD-A849-A3A8-AFDA3B177092}"/>
    <cellStyle name="Normal 5" xfId="5" xr:uid="{E41D91DF-75ED-284A-8630-0F93DCFC9F6B}"/>
    <cellStyle name="Percent" xfId="1" builtinId="5"/>
  </cellStyles>
  <dxfs count="20">
    <dxf>
      <numFmt numFmtId="169" formatCode=";;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minor"/>
      </font>
      <numFmt numFmtId="168" formatCode="_([$$-409]* #,##0_);_([$$-409]* \(#,##0\);_([$$-409]* &quot;-&quot;??_);_(@_)"/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minor"/>
      </font>
      <alignment textRotation="0" wrapText="1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minor"/>
      </font>
      <numFmt numFmtId="168" formatCode="_([$$-409]* #,##0_);_([$$-409]* \(#,##0\);_([$$-409]* &quot;-&quot;??_);_(@_)"/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minor"/>
      </font>
      <numFmt numFmtId="168" formatCode="_([$$-409]* #,##0_);_([$$-409]* \(#,##0\);_([$$-409]* &quot;-&quot;??_);_(@_)"/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minor"/>
      </font>
      <numFmt numFmtId="0" formatCode="General"/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minor"/>
      </font>
      <fill>
        <patternFill patternType="solid">
          <fgColor indexed="64"/>
          <bgColor theme="9" tint="0.79998168889431442"/>
        </patternFill>
      </fill>
      <alignment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minor"/>
      </font>
      <alignment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9" formatCode=";;;"/>
    </dxf>
    <dxf>
      <numFmt numFmtId="169" formatCode=";;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minor"/>
      </font>
      <alignment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D8EED3"/>
      <color rgb="FFF0ACAD"/>
      <color rgb="FFFEF4CD"/>
      <color rgb="FFF9D3D2"/>
      <color rgb="FFEFF7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498E73-6073-3E48-AFB0-B34621D6345E}" name="Table1" displayName="Table1" ref="B4:M19" totalsRowShown="0" headerRowDxfId="15" dataDxfId="16" headerRowBorderDxfId="18" tableBorderDxfId="19" totalsRowBorderDxfId="17">
  <autoFilter ref="B4:M19" xr:uid="{32498E73-6073-3E48-AFB0-B34621D6345E}"/>
  <tableColumns count="12">
    <tableColumn id="1" xr3:uid="{847D1D9B-0168-764A-8597-ECA802DB9D56}" name="Risk number" dataDxfId="12">
      <calculatedColumnFormula>B4+1</calculatedColumnFormula>
    </tableColumn>
    <tableColumn id="2" xr3:uid="{94920CE0-C1DA-1C46-8381-4C0D99B6712F}" name="Risk" dataDxfId="3"/>
    <tableColumn id="3" xr3:uid="{F29472C4-69B0-624B-BD50-3732D28F5EA1}" name="Impact" dataDxfId="11"/>
    <tableColumn id="4" xr3:uid="{D2585BDB-CB44-D04A-8D0B-10C6F64AA703}" name="Likelihood" dataDxfId="10" dataCellStyle="Percent">
      <calculatedColumnFormula>IF(Table1[[#This Row],[Likelihood in %]]&gt;=90%,5,IF(Table1[[#This Row],[Likelihood in %]]&gt;=65%,4,IF(Table1[[#This Row],[Likelihood in %]]&gt;=35%,3,IF(Table1[[#This Row],[Likelihood in %]]&gt;=10%,2,1))))</calculatedColumnFormula>
    </tableColumn>
    <tableColumn id="5" xr3:uid="{C01F59A9-7C45-D74F-8453-63FBBE9AFA67}" name="Risk type" dataDxfId="2"/>
    <tableColumn id="6" xr3:uid="{3B9CBE5C-ACDC-C249-AF1A-0D4E05DF8178}" name="Category" dataDxfId="1"/>
    <tableColumn id="17" xr3:uid="{A25D3679-BDF1-004D-8B47-FD474A8B80CF}" name="Mitigation strategy" dataDxfId="9"/>
    <tableColumn id="18" xr3:uid="{A4F9A3A3-AD07-2747-96EF-D54F034959BC}" name="Likelihood in %" dataDxfId="8"/>
    <tableColumn id="16" xr3:uid="{0BFB64AE-98A3-8E42-85E2-C002CC6F628B}" name="Cost if risk happens" dataDxfId="7"/>
    <tableColumn id="15" xr3:uid="{762A4F01-AE3C-4149-9FD1-44555B0862D9}" name="Value of risk" dataDxfId="6">
      <calculatedColumnFormula>Table1[[#This Row],[Likelihood in %]]*Table1[[#This Row],[Cost if risk happens]]</calculatedColumnFormula>
    </tableColumn>
    <tableColumn id="14" xr3:uid="{3CC61C89-DD3A-B743-AF4B-107B44735D41}" name="Mitigation costs" dataDxfId="4"/>
    <tableColumn id="7" xr3:uid="{A9AD448F-1258-7844-AD84-862A06317FFD}" name="ROI on mitigation" dataDxfId="5" dataCellStyle="Percent">
      <calculatedColumnFormula>(Table1[[#This Row],[Value of risk]]-Table1[[#This Row],[Mitigation costs]])/Table1[[#This Row],[Mitigation costs]]</calculatedColumn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Slideworks">
  <a:themeElements>
    <a:clrScheme name="Slideworks">
      <a:dk1>
        <a:srgbClr val="FFFFFF"/>
      </a:dk1>
      <a:lt1>
        <a:srgbClr val="061F32"/>
      </a:lt1>
      <a:dk2>
        <a:srgbClr val="000000"/>
      </a:dk2>
      <a:lt2>
        <a:srgbClr val="000000"/>
      </a:lt2>
      <a:accent1>
        <a:srgbClr val="22A3DF"/>
      </a:accent1>
      <a:accent2>
        <a:srgbClr val="3478AB"/>
      </a:accent2>
      <a:accent3>
        <a:srgbClr val="1D4769"/>
      </a:accent3>
      <a:accent4>
        <a:srgbClr val="061F32"/>
      </a:accent4>
      <a:accent5>
        <a:srgbClr val="2222F6"/>
      </a:accent5>
      <a:accent6>
        <a:srgbClr val="F8BC3B"/>
      </a:accent6>
      <a:hlink>
        <a:srgbClr val="3478AB"/>
      </a:hlink>
      <a:folHlink>
        <a:srgbClr val="8B78AB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ubtle Solids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1"/>
        </a:solidFill>
        <a:ln w="6350" cap="sq">
          <a:noFill/>
          <a:miter lim="800000"/>
        </a:ln>
      </a:spPr>
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spcBef>
            <a:spcPts val="300"/>
          </a:spcBef>
          <a:spcAft>
            <a:spcPts val="300"/>
          </a:spcAft>
          <a:defRPr sz="1600" dirty="0" err="1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 cap="sq">
          <a:solidFill>
            <a:srgbClr val="000000"/>
          </a:solidFill>
          <a:miter lim="800000"/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ln w="6350">
          <a:noFill/>
          <a:miter lim="800000"/>
        </a:ln>
      </a:spPr>
      <a:bodyPr vert="horz" wrap="square" lIns="0" tIns="0" rIns="0" bIns="0" rtlCol="0">
        <a:noAutofit/>
      </a:bodyPr>
      <a:lstStyle>
        <a:defPPr algn="l">
          <a:spcBef>
            <a:spcPts val="300"/>
          </a:spcBef>
          <a:spcAft>
            <a:spcPts val="300"/>
          </a:spcAft>
          <a:buNone/>
          <a:defRPr sz="1600" dirty="0" smtClean="0"/>
        </a:defPPr>
      </a:lstStyle>
    </a:txDef>
  </a:objectDefaults>
  <a:extraClrSchemeLst>
    <a:extraClrScheme>
      <a:clrScheme name="Scheme White">
        <a:dk1>
          <a:srgbClr val="000000"/>
        </a:dk1>
        <a:lt1>
          <a:srgbClr val="FFFFFF"/>
        </a:lt1>
        <a:dk2>
          <a:srgbClr val="FFFFFF"/>
        </a:dk2>
        <a:lt2>
          <a:srgbClr val="FFFFFF"/>
        </a:lt2>
        <a:accent1>
          <a:srgbClr val="051C2C"/>
        </a:accent1>
        <a:accent2>
          <a:srgbClr val="00A9F4"/>
        </a:accent2>
        <a:accent3>
          <a:srgbClr val="1F40E6"/>
        </a:accent3>
        <a:accent4>
          <a:srgbClr val="AAE6F0"/>
        </a:accent4>
        <a:accent5>
          <a:srgbClr val="3C96B4"/>
        </a:accent5>
        <a:accent6>
          <a:srgbClr val="AFC3FF"/>
        </a:accent6>
        <a:hlink>
          <a:srgbClr val="1F40E6"/>
        </a:hlink>
        <a:folHlink>
          <a:srgbClr val="8C5AC8"/>
        </a:folHlink>
      </a:clrScheme>
    </a:extraClrScheme>
  </a:extraClrSchemeLst>
  <a:custClrLst>
    <a:custClr name="Deep Blue">
      <a:srgbClr val="051C2C"/>
    </a:custClr>
    <a:custClr name="Cyan">
      <a:srgbClr val="00A9F4"/>
    </a:custClr>
    <a:custClr name="Electric Blue">
      <a:srgbClr val="1F40E6"/>
    </a:custClr>
    <a:custClr name="Pale Blue">
      <a:srgbClr val="AAE6F0"/>
    </a:custClr>
    <a:custClr name="Turquoise">
      <a:srgbClr val="3C96B4"/>
    </a:custClr>
    <a:custClr name="Pale Electric Blue">
      <a:srgbClr val="AFC3FF"/>
    </a:custClr>
    <a:custClr name="Purple">
      <a:srgbClr val="8C5AC8"/>
    </a:custClr>
    <a:custClr name="Pink">
      <a:srgbClr val="E6A0C8"/>
    </a:custClr>
    <a:custClr name="Red">
      <a:srgbClr val="E5546C"/>
    </a:custClr>
    <a:custClr name="Orange">
      <a:srgbClr val="FAA082"/>
    </a:custClr>
    <a:custClr name="Dark Gray">
      <a:srgbClr val="4D4D4D"/>
    </a:custClr>
    <a:custClr name="Mid Gray">
      <a:srgbClr val="7F7F7F"/>
    </a:custClr>
    <a:custClr name="Light Gray">
      <a:srgbClr val="B3B3B3"/>
    </a:custClr>
    <a:custClr name="Super Light Gray">
      <a:srgbClr val="D0D0D0"/>
    </a:custClr>
    <a:custClr name="Pale Gray">
      <a:srgbClr val="E6E6E6"/>
    </a:custClr>
    <a:custClr name="Null">
      <a:srgbClr val="FFFFFF"/>
    </a:custClr>
    <a:custClr name="Null">
      <a:srgbClr val="FFFFFF"/>
    </a:custClr>
    <a:custClr name="Null">
      <a:srgbClr val="FFFFFF"/>
    </a:custClr>
    <a:custClr name="Null">
      <a:srgbClr val="FFFFFF"/>
    </a:custClr>
    <a:custClr name="Null">
      <a:srgbClr val="FFFFFF"/>
    </a:custClr>
    <a:custClr name="Linear 1 (Deep Blue)">
      <a:srgbClr val="051C2C"/>
    </a:custClr>
    <a:custClr name="Linear 2">
      <a:srgbClr val="034B6F"/>
    </a:custClr>
    <a:custClr name="Linear 3">
      <a:srgbClr val="027AB1"/>
    </a:custClr>
    <a:custClr name="Linear 4 (Cyan)">
      <a:srgbClr val="00A9F4"/>
    </a:custClr>
    <a:custClr name="Linear 5">
      <a:srgbClr val="39BDF3"/>
    </a:custClr>
    <a:custClr name="Linear 6">
      <a:srgbClr val="71D2F1"/>
    </a:custClr>
    <a:custClr name="Linear 7 (Pale Blue)">
      <a:srgbClr val="AAE6F0"/>
    </a:custClr>
    <a:custClr name="Null">
      <a:srgbClr val="FFFFFF"/>
    </a:custClr>
    <a:custClr name="Null">
      <a:srgbClr val="FFFFFF"/>
    </a:custClr>
    <a:custClr name="Null">
      <a:srgbClr val="FFFFFF"/>
    </a:custClr>
  </a:custClrLst>
  <a:extLst>
    <a:ext uri="{05A4C25C-085E-4340-85A3-A5531E510DB2}">
      <thm15:themeFamily xmlns:thm15="http://schemas.microsoft.com/office/thememl/2012/main" name="Slideworks" id="{E069DF23-800B-2147-8703-57BAD797A89F}" vid="{C4B098EE-F2FB-4F45-9BF5-C6412EFF7DD9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0D6F2-139F-984A-B3B8-04342E2B1892}">
  <sheetPr>
    <tabColor theme="9" tint="0.79998168889431442"/>
  </sheetPr>
  <dimension ref="B1:E9"/>
  <sheetViews>
    <sheetView showGridLines="0" tabSelected="1" workbookViewId="0">
      <selection activeCell="B4" sqref="B4"/>
    </sheetView>
  </sheetViews>
  <sheetFormatPr baseColWidth="10" defaultRowHeight="16" x14ac:dyDescent="0.2"/>
  <cols>
    <col min="1" max="1" width="3.42578125" style="2" customWidth="1"/>
    <col min="2" max="2" width="47.42578125" style="1" customWidth="1"/>
    <col min="3" max="5" width="47.42578125" style="2" customWidth="1"/>
    <col min="6" max="7" width="98.5703125" style="2" customWidth="1"/>
    <col min="8" max="16384" width="10.7109375" style="2"/>
  </cols>
  <sheetData>
    <row r="1" spans="2:5" ht="17" thickBot="1" x14ac:dyDescent="0.25"/>
    <row r="2" spans="2:5" ht="22" customHeight="1" x14ac:dyDescent="0.2">
      <c r="B2" s="3" t="s">
        <v>0</v>
      </c>
      <c r="C2" s="4"/>
      <c r="D2" s="4"/>
      <c r="E2" s="5"/>
    </row>
    <row r="3" spans="2:5" ht="119" customHeight="1" thickBot="1" x14ac:dyDescent="0.25">
      <c r="B3" s="6" t="s">
        <v>32</v>
      </c>
      <c r="C3" s="7"/>
      <c r="D3" s="7"/>
      <c r="E3" s="8"/>
    </row>
    <row r="4" spans="2:5" x14ac:dyDescent="0.2">
      <c r="B4" s="9"/>
    </row>
    <row r="5" spans="2:5" x14ac:dyDescent="0.2">
      <c r="B5" s="9"/>
    </row>
    <row r="6" spans="2:5" ht="17" x14ac:dyDescent="0.2">
      <c r="B6" s="10" t="s">
        <v>1</v>
      </c>
    </row>
    <row r="7" spans="2:5" x14ac:dyDescent="0.2">
      <c r="B7" s="11"/>
    </row>
    <row r="8" spans="2:5" ht="17" x14ac:dyDescent="0.2">
      <c r="B8" s="12" t="s">
        <v>2</v>
      </c>
    </row>
    <row r="9" spans="2:5" ht="17" x14ac:dyDescent="0.2">
      <c r="B9" s="13" t="s">
        <v>3</v>
      </c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7D8C7-C2C2-BF44-A758-24CB3FD9A88B}">
  <dimension ref="B2:C24"/>
  <sheetViews>
    <sheetView showGridLines="0" workbookViewId="0">
      <selection activeCell="F14" sqref="F14"/>
    </sheetView>
  </sheetViews>
  <sheetFormatPr baseColWidth="10" defaultRowHeight="16" x14ac:dyDescent="0.2"/>
  <cols>
    <col min="1" max="1" width="4" customWidth="1"/>
    <col min="2" max="3" width="40.7109375" customWidth="1"/>
  </cols>
  <sheetData>
    <row r="2" spans="2:3" x14ac:dyDescent="0.2">
      <c r="B2" s="14" t="s">
        <v>4</v>
      </c>
      <c r="C2" s="15"/>
    </row>
    <row r="3" spans="2:3" x14ac:dyDescent="0.2">
      <c r="B3" s="16"/>
      <c r="C3" s="16"/>
    </row>
    <row r="4" spans="2:3" x14ac:dyDescent="0.2">
      <c r="B4" s="17" t="s">
        <v>5</v>
      </c>
      <c r="C4" s="18"/>
    </row>
    <row r="5" spans="2:3" x14ac:dyDescent="0.2">
      <c r="B5" s="19"/>
      <c r="C5" s="20"/>
    </row>
    <row r="6" spans="2:3" x14ac:dyDescent="0.2">
      <c r="B6" s="19"/>
      <c r="C6" s="20"/>
    </row>
    <row r="7" spans="2:3" x14ac:dyDescent="0.2">
      <c r="B7" s="19"/>
      <c r="C7" s="20"/>
    </row>
    <row r="8" spans="2:3" x14ac:dyDescent="0.2">
      <c r="B8" s="19"/>
      <c r="C8" s="20"/>
    </row>
    <row r="9" spans="2:3" x14ac:dyDescent="0.2">
      <c r="B9" s="19"/>
      <c r="C9" s="20"/>
    </row>
    <row r="10" spans="2:3" x14ac:dyDescent="0.2">
      <c r="B10" s="19"/>
      <c r="C10" s="20"/>
    </row>
    <row r="11" spans="2:3" x14ac:dyDescent="0.2">
      <c r="B11" s="19"/>
      <c r="C11" s="20"/>
    </row>
    <row r="12" spans="2:3" x14ac:dyDescent="0.2">
      <c r="B12" s="19"/>
      <c r="C12" s="20"/>
    </row>
    <row r="13" spans="2:3" x14ac:dyDescent="0.2">
      <c r="B13" s="21"/>
      <c r="C13" s="22"/>
    </row>
    <row r="14" spans="2:3" x14ac:dyDescent="0.2">
      <c r="B14" s="16"/>
      <c r="C14" s="16"/>
    </row>
    <row r="15" spans="2:3" x14ac:dyDescent="0.2">
      <c r="B15" s="14" t="s">
        <v>6</v>
      </c>
      <c r="C15" s="15"/>
    </row>
    <row r="16" spans="2:3" x14ac:dyDescent="0.2">
      <c r="B16" s="16"/>
      <c r="C16" s="16"/>
    </row>
    <row r="17" spans="2:3" ht="30" customHeight="1" x14ac:dyDescent="0.2">
      <c r="B17" s="23" t="s">
        <v>7</v>
      </c>
      <c r="C17" s="24" t="s">
        <v>8</v>
      </c>
    </row>
    <row r="18" spans="2:3" ht="30" customHeight="1" x14ac:dyDescent="0.2">
      <c r="B18" s="23" t="s">
        <v>9</v>
      </c>
      <c r="C18" s="24" t="s">
        <v>10</v>
      </c>
    </row>
    <row r="19" spans="2:3" ht="30" customHeight="1" x14ac:dyDescent="0.2">
      <c r="B19" s="23" t="s">
        <v>11</v>
      </c>
      <c r="C19" s="25" t="s">
        <v>12</v>
      </c>
    </row>
    <row r="20" spans="2:3" ht="30" customHeight="1" x14ac:dyDescent="0.2">
      <c r="B20" s="23" t="s">
        <v>13</v>
      </c>
      <c r="C20" s="26">
        <v>1</v>
      </c>
    </row>
    <row r="21" spans="2:3" ht="30" customHeight="1" x14ac:dyDescent="0.2">
      <c r="B21" s="23" t="s">
        <v>14</v>
      </c>
      <c r="C21" s="27" t="s">
        <v>15</v>
      </c>
    </row>
    <row r="22" spans="2:3" ht="30" customHeight="1" x14ac:dyDescent="0.2">
      <c r="B22" s="28" t="s">
        <v>16</v>
      </c>
      <c r="C22" s="29" t="s">
        <v>17</v>
      </c>
    </row>
    <row r="23" spans="2:3" ht="30" customHeight="1" x14ac:dyDescent="0.2">
      <c r="B23" s="28" t="s">
        <v>18</v>
      </c>
      <c r="C23" s="29" t="s">
        <v>17</v>
      </c>
    </row>
    <row r="24" spans="2:3" ht="30" customHeight="1" x14ac:dyDescent="0.2">
      <c r="B24" s="30" t="s">
        <v>19</v>
      </c>
      <c r="C24" s="29" t="s">
        <v>17</v>
      </c>
    </row>
  </sheetData>
  <mergeCells count="3">
    <mergeCell ref="B2:C2"/>
    <mergeCell ref="B4:C13"/>
    <mergeCell ref="B15:C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0891-6826-D14D-812D-9395F3964036}">
  <sheetPr>
    <tabColor theme="0"/>
  </sheetPr>
  <dimension ref="A2:M33"/>
  <sheetViews>
    <sheetView showGridLines="0" zoomScale="50" workbookViewId="0">
      <selection activeCell="D19" sqref="D19"/>
    </sheetView>
  </sheetViews>
  <sheetFormatPr baseColWidth="10" defaultRowHeight="16" x14ac:dyDescent="0.2"/>
  <cols>
    <col min="1" max="1" width="2.85546875" style="2" customWidth="1"/>
    <col min="2" max="2" width="13" style="2" customWidth="1"/>
    <col min="3" max="5" width="20.7109375" style="2" customWidth="1"/>
    <col min="6" max="6" width="35.85546875" style="2" customWidth="1"/>
    <col min="7" max="7" width="20.7109375" style="2" customWidth="1"/>
    <col min="8" max="8" width="50.28515625" style="2" customWidth="1"/>
    <col min="9" max="9" width="18.85546875" style="2" customWidth="1"/>
    <col min="10" max="13" width="20.7109375" style="2" customWidth="1"/>
    <col min="14" max="16384" width="10.7109375" style="2"/>
  </cols>
  <sheetData>
    <row r="2" spans="2:13" ht="25" x14ac:dyDescent="0.25">
      <c r="B2" s="31" t="s">
        <v>21</v>
      </c>
    </row>
    <row r="4" spans="2:13" s="39" customFormat="1" ht="26" customHeight="1" x14ac:dyDescent="0.2">
      <c r="B4" s="32" t="s">
        <v>22</v>
      </c>
      <c r="C4" s="33" t="s">
        <v>20</v>
      </c>
      <c r="D4" s="33" t="s">
        <v>23</v>
      </c>
      <c r="E4" s="33" t="s">
        <v>24</v>
      </c>
      <c r="F4" s="33" t="s">
        <v>25</v>
      </c>
      <c r="G4" s="33" t="s">
        <v>26</v>
      </c>
      <c r="H4" s="34" t="s">
        <v>27</v>
      </c>
      <c r="I4" s="33" t="s">
        <v>72</v>
      </c>
      <c r="J4" s="38" t="s">
        <v>28</v>
      </c>
      <c r="K4" s="38" t="s">
        <v>29</v>
      </c>
      <c r="L4" s="38" t="s">
        <v>30</v>
      </c>
      <c r="M4" s="38" t="s">
        <v>31</v>
      </c>
    </row>
    <row r="5" spans="2:13" ht="17" x14ac:dyDescent="0.2">
      <c r="B5" s="35">
        <v>1</v>
      </c>
      <c r="C5" s="70" t="s">
        <v>73</v>
      </c>
      <c r="D5" s="70">
        <v>5</v>
      </c>
      <c r="E5" s="36">
        <f>IF(Table1[[#This Row],[Likelihood in %]]&gt;=90%,5,IF(Table1[[#This Row],[Likelihood in %]]&gt;=65%,4,IF(Table1[[#This Row],[Likelihood in %]]&gt;=35%,3,IF(Table1[[#This Row],[Likelihood in %]]&gt;=10%,2,1))))</f>
        <v>5</v>
      </c>
      <c r="F5" s="70" t="s">
        <v>74</v>
      </c>
      <c r="G5" s="70" t="s">
        <v>75</v>
      </c>
      <c r="H5" s="72"/>
      <c r="I5" s="73">
        <v>0.9</v>
      </c>
      <c r="J5" s="74">
        <v>100000</v>
      </c>
      <c r="K5" s="40">
        <f>Table1[[#This Row],[Likelihood in %]]*Table1[[#This Row],[Cost if risk happens]]</f>
        <v>90000</v>
      </c>
      <c r="L5" s="74">
        <v>50000</v>
      </c>
      <c r="M5" s="41">
        <f>(Table1[[#This Row],[Value of risk]]-Table1[[#This Row],[Mitigation costs]])/Table1[[#This Row],[Mitigation costs]]</f>
        <v>0.8</v>
      </c>
    </row>
    <row r="6" spans="2:13" ht="17" x14ac:dyDescent="0.2">
      <c r="B6" s="35">
        <f>B5+1</f>
        <v>2</v>
      </c>
      <c r="C6" s="70" t="s">
        <v>73</v>
      </c>
      <c r="D6" s="70">
        <v>5</v>
      </c>
      <c r="E6" s="36">
        <f>IF(Table1[[#This Row],[Likelihood in %]]&gt;=90%,5,IF(Table1[[#This Row],[Likelihood in %]]&gt;=65%,4,IF(Table1[[#This Row],[Likelihood in %]]&gt;=35%,3,IF(Table1[[#This Row],[Likelihood in %]]&gt;=10%,2,1))))</f>
        <v>4</v>
      </c>
      <c r="F6" s="70" t="s">
        <v>74</v>
      </c>
      <c r="G6" s="70" t="s">
        <v>75</v>
      </c>
      <c r="H6" s="72"/>
      <c r="I6" s="73">
        <v>0.8</v>
      </c>
      <c r="J6" s="74">
        <v>10000</v>
      </c>
      <c r="K6" s="40">
        <f>Table1[[#This Row],[Likelihood in %]]*Table1[[#This Row],[Cost if risk happens]]</f>
        <v>8000</v>
      </c>
      <c r="L6" s="74">
        <v>5000</v>
      </c>
      <c r="M6" s="41">
        <f>(Table1[[#This Row],[Value of risk]]-Table1[[#This Row],[Mitigation costs]])/Table1[[#This Row],[Mitigation costs]]</f>
        <v>0.6</v>
      </c>
    </row>
    <row r="7" spans="2:13" ht="17" x14ac:dyDescent="0.2">
      <c r="B7" s="35">
        <f t="shared" ref="B7:B19" si="0">B6+1</f>
        <v>3</v>
      </c>
      <c r="C7" s="70" t="s">
        <v>73</v>
      </c>
      <c r="D7" s="70">
        <v>4</v>
      </c>
      <c r="E7" s="36">
        <f>IF(Table1[[#This Row],[Likelihood in %]]&gt;=90%,5,IF(Table1[[#This Row],[Likelihood in %]]&gt;=65%,4,IF(Table1[[#This Row],[Likelihood in %]]&gt;=35%,3,IF(Table1[[#This Row],[Likelihood in %]]&gt;=10%,2,1))))</f>
        <v>4</v>
      </c>
      <c r="F7" s="70" t="s">
        <v>74</v>
      </c>
      <c r="G7" s="70" t="s">
        <v>75</v>
      </c>
      <c r="H7" s="72"/>
      <c r="I7" s="73">
        <v>0.75</v>
      </c>
      <c r="J7" s="74">
        <v>10000</v>
      </c>
      <c r="K7" s="40">
        <f>Table1[[#This Row],[Likelihood in %]]*Table1[[#This Row],[Cost if risk happens]]</f>
        <v>7500</v>
      </c>
      <c r="L7" s="74">
        <v>5000</v>
      </c>
      <c r="M7" s="41">
        <f>(Table1[[#This Row],[Value of risk]]-Table1[[#This Row],[Mitigation costs]])/Table1[[#This Row],[Mitigation costs]]</f>
        <v>0.5</v>
      </c>
    </row>
    <row r="8" spans="2:13" ht="17" x14ac:dyDescent="0.2">
      <c r="B8" s="35">
        <f t="shared" si="0"/>
        <v>4</v>
      </c>
      <c r="C8" s="70" t="s">
        <v>73</v>
      </c>
      <c r="D8" s="70">
        <v>4</v>
      </c>
      <c r="E8" s="36">
        <f>IF(Table1[[#This Row],[Likelihood in %]]&gt;=90%,5,IF(Table1[[#This Row],[Likelihood in %]]&gt;=65%,4,IF(Table1[[#This Row],[Likelihood in %]]&gt;=35%,3,IF(Table1[[#This Row],[Likelihood in %]]&gt;=10%,2,1))))</f>
        <v>3</v>
      </c>
      <c r="F8" s="70" t="s">
        <v>74</v>
      </c>
      <c r="G8" s="70" t="s">
        <v>75</v>
      </c>
      <c r="H8" s="72"/>
      <c r="I8" s="73">
        <v>0.5</v>
      </c>
      <c r="J8" s="74">
        <v>10000</v>
      </c>
      <c r="K8" s="40">
        <f>Table1[[#This Row],[Likelihood in %]]*Table1[[#This Row],[Cost if risk happens]]</f>
        <v>5000</v>
      </c>
      <c r="L8" s="74">
        <v>5000</v>
      </c>
      <c r="M8" s="41">
        <f>(Table1[[#This Row],[Value of risk]]-Table1[[#This Row],[Mitigation costs]])/Table1[[#This Row],[Mitigation costs]]</f>
        <v>0</v>
      </c>
    </row>
    <row r="9" spans="2:13" ht="17" x14ac:dyDescent="0.2">
      <c r="B9" s="35">
        <f t="shared" si="0"/>
        <v>5</v>
      </c>
      <c r="C9" s="70" t="s">
        <v>73</v>
      </c>
      <c r="D9" s="70">
        <v>4</v>
      </c>
      <c r="E9" s="36">
        <f>IF(Table1[[#This Row],[Likelihood in %]]&gt;=90%,5,IF(Table1[[#This Row],[Likelihood in %]]&gt;=65%,4,IF(Table1[[#This Row],[Likelihood in %]]&gt;=35%,3,IF(Table1[[#This Row],[Likelihood in %]]&gt;=10%,2,1))))</f>
        <v>3</v>
      </c>
      <c r="F9" s="70" t="s">
        <v>74</v>
      </c>
      <c r="G9" s="70" t="s">
        <v>75</v>
      </c>
      <c r="H9" s="72"/>
      <c r="I9" s="73">
        <v>0.5</v>
      </c>
      <c r="J9" s="74">
        <v>10000</v>
      </c>
      <c r="K9" s="40">
        <f>Table1[[#This Row],[Likelihood in %]]*Table1[[#This Row],[Cost if risk happens]]</f>
        <v>5000</v>
      </c>
      <c r="L9" s="74">
        <v>5000</v>
      </c>
      <c r="M9" s="41">
        <f>(Table1[[#This Row],[Value of risk]]-Table1[[#This Row],[Mitigation costs]])/Table1[[#This Row],[Mitigation costs]]</f>
        <v>0</v>
      </c>
    </row>
    <row r="10" spans="2:13" ht="17" x14ac:dyDescent="0.2">
      <c r="B10" s="35">
        <f t="shared" si="0"/>
        <v>6</v>
      </c>
      <c r="C10" s="70" t="s">
        <v>73</v>
      </c>
      <c r="D10" s="70">
        <v>4</v>
      </c>
      <c r="E10" s="36">
        <f>IF(Table1[[#This Row],[Likelihood in %]]&gt;=90%,5,IF(Table1[[#This Row],[Likelihood in %]]&gt;=65%,4,IF(Table1[[#This Row],[Likelihood in %]]&gt;=35%,3,IF(Table1[[#This Row],[Likelihood in %]]&gt;=10%,2,1))))</f>
        <v>2</v>
      </c>
      <c r="F10" s="70" t="s">
        <v>74</v>
      </c>
      <c r="G10" s="70" t="s">
        <v>75</v>
      </c>
      <c r="H10" s="72"/>
      <c r="I10" s="73">
        <v>0.2</v>
      </c>
      <c r="J10" s="74">
        <v>10000</v>
      </c>
      <c r="K10" s="40">
        <f>Table1[[#This Row],[Likelihood in %]]*Table1[[#This Row],[Cost if risk happens]]</f>
        <v>2000</v>
      </c>
      <c r="L10" s="74">
        <v>5000</v>
      </c>
      <c r="M10" s="41">
        <f>(Table1[[#This Row],[Value of risk]]-Table1[[#This Row],[Mitigation costs]])/Table1[[#This Row],[Mitigation costs]]</f>
        <v>-0.6</v>
      </c>
    </row>
    <row r="11" spans="2:13" ht="17" x14ac:dyDescent="0.2">
      <c r="B11" s="35">
        <f t="shared" si="0"/>
        <v>7</v>
      </c>
      <c r="C11" s="70" t="s">
        <v>73</v>
      </c>
      <c r="D11" s="70">
        <v>3</v>
      </c>
      <c r="E11" s="36">
        <f>IF(Table1[[#This Row],[Likelihood in %]]&gt;=90%,5,IF(Table1[[#This Row],[Likelihood in %]]&gt;=65%,4,IF(Table1[[#This Row],[Likelihood in %]]&gt;=35%,3,IF(Table1[[#This Row],[Likelihood in %]]&gt;=10%,2,1))))</f>
        <v>2</v>
      </c>
      <c r="F11" s="70" t="s">
        <v>74</v>
      </c>
      <c r="G11" s="70" t="s">
        <v>75</v>
      </c>
      <c r="H11" s="72"/>
      <c r="I11" s="73">
        <v>0.2</v>
      </c>
      <c r="J11" s="74">
        <v>10000</v>
      </c>
      <c r="K11" s="40">
        <f>Table1[[#This Row],[Likelihood in %]]*Table1[[#This Row],[Cost if risk happens]]</f>
        <v>2000</v>
      </c>
      <c r="L11" s="74">
        <v>5000</v>
      </c>
      <c r="M11" s="41">
        <f>(Table1[[#This Row],[Value of risk]]-Table1[[#This Row],[Mitigation costs]])/Table1[[#This Row],[Mitigation costs]]</f>
        <v>-0.6</v>
      </c>
    </row>
    <row r="12" spans="2:13" ht="17" x14ac:dyDescent="0.2">
      <c r="B12" s="35">
        <f t="shared" si="0"/>
        <v>8</v>
      </c>
      <c r="C12" s="70" t="s">
        <v>73</v>
      </c>
      <c r="D12" s="70">
        <v>3</v>
      </c>
      <c r="E12" s="36">
        <f>IF(Table1[[#This Row],[Likelihood in %]]&gt;=90%,5,IF(Table1[[#This Row],[Likelihood in %]]&gt;=65%,4,IF(Table1[[#This Row],[Likelihood in %]]&gt;=35%,3,IF(Table1[[#This Row],[Likelihood in %]]&gt;=10%,2,1))))</f>
        <v>2</v>
      </c>
      <c r="F12" s="70" t="s">
        <v>74</v>
      </c>
      <c r="G12" s="70" t="s">
        <v>75</v>
      </c>
      <c r="H12" s="72"/>
      <c r="I12" s="73">
        <v>0.2</v>
      </c>
      <c r="J12" s="74">
        <v>10000</v>
      </c>
      <c r="K12" s="40">
        <f>Table1[[#This Row],[Likelihood in %]]*Table1[[#This Row],[Cost if risk happens]]</f>
        <v>2000</v>
      </c>
      <c r="L12" s="74">
        <v>5000</v>
      </c>
      <c r="M12" s="41">
        <f>(Table1[[#This Row],[Value of risk]]-Table1[[#This Row],[Mitigation costs]])/Table1[[#This Row],[Mitigation costs]]</f>
        <v>-0.6</v>
      </c>
    </row>
    <row r="13" spans="2:13" ht="17" x14ac:dyDescent="0.2">
      <c r="B13" s="35">
        <f t="shared" si="0"/>
        <v>9</v>
      </c>
      <c r="C13" s="70" t="s">
        <v>73</v>
      </c>
      <c r="D13" s="70">
        <v>1</v>
      </c>
      <c r="E13" s="36">
        <f>IF(Table1[[#This Row],[Likelihood in %]]&gt;=90%,5,IF(Table1[[#This Row],[Likelihood in %]]&gt;=65%,4,IF(Table1[[#This Row],[Likelihood in %]]&gt;=35%,3,IF(Table1[[#This Row],[Likelihood in %]]&gt;=10%,2,1))))</f>
        <v>2</v>
      </c>
      <c r="F13" s="70" t="s">
        <v>74</v>
      </c>
      <c r="G13" s="70" t="s">
        <v>75</v>
      </c>
      <c r="H13" s="72"/>
      <c r="I13" s="73">
        <v>0.2</v>
      </c>
      <c r="J13" s="74">
        <v>10000</v>
      </c>
      <c r="K13" s="40">
        <f>Table1[[#This Row],[Likelihood in %]]*Table1[[#This Row],[Cost if risk happens]]</f>
        <v>2000</v>
      </c>
      <c r="L13" s="74">
        <v>5000</v>
      </c>
      <c r="M13" s="41">
        <f>(Table1[[#This Row],[Value of risk]]-Table1[[#This Row],[Mitigation costs]])/Table1[[#This Row],[Mitigation costs]]</f>
        <v>-0.6</v>
      </c>
    </row>
    <row r="14" spans="2:13" ht="17" x14ac:dyDescent="0.2">
      <c r="B14" s="35">
        <f t="shared" si="0"/>
        <v>10</v>
      </c>
      <c r="C14" s="70" t="s">
        <v>73</v>
      </c>
      <c r="D14" s="70">
        <v>1</v>
      </c>
      <c r="E14" s="36">
        <f>IF(Table1[[#This Row],[Likelihood in %]]&gt;=90%,5,IF(Table1[[#This Row],[Likelihood in %]]&gt;=65%,4,IF(Table1[[#This Row],[Likelihood in %]]&gt;=35%,3,IF(Table1[[#This Row],[Likelihood in %]]&gt;=10%,2,1))))</f>
        <v>2</v>
      </c>
      <c r="F14" s="70" t="s">
        <v>74</v>
      </c>
      <c r="G14" s="70" t="s">
        <v>75</v>
      </c>
      <c r="H14" s="72"/>
      <c r="I14" s="73">
        <v>0.2</v>
      </c>
      <c r="J14" s="74">
        <v>10000</v>
      </c>
      <c r="K14" s="40">
        <f>Table1[[#This Row],[Likelihood in %]]*Table1[[#This Row],[Cost if risk happens]]</f>
        <v>2000</v>
      </c>
      <c r="L14" s="74">
        <v>5000</v>
      </c>
      <c r="M14" s="41">
        <f>(Table1[[#This Row],[Value of risk]]-Table1[[#This Row],[Mitigation costs]])/Table1[[#This Row],[Mitigation costs]]</f>
        <v>-0.6</v>
      </c>
    </row>
    <row r="15" spans="2:13" ht="17" x14ac:dyDescent="0.2">
      <c r="B15" s="35">
        <f t="shared" si="0"/>
        <v>11</v>
      </c>
      <c r="C15" s="70" t="s">
        <v>73</v>
      </c>
      <c r="D15" s="70">
        <v>1</v>
      </c>
      <c r="E15" s="36">
        <f>IF(Table1[[#This Row],[Likelihood in %]]&gt;=90%,5,IF(Table1[[#This Row],[Likelihood in %]]&gt;=65%,4,IF(Table1[[#This Row],[Likelihood in %]]&gt;=35%,3,IF(Table1[[#This Row],[Likelihood in %]]&gt;=10%,2,1))))</f>
        <v>2</v>
      </c>
      <c r="F15" s="70" t="s">
        <v>74</v>
      </c>
      <c r="G15" s="70" t="s">
        <v>75</v>
      </c>
      <c r="H15" s="72"/>
      <c r="I15" s="73">
        <v>0.2</v>
      </c>
      <c r="J15" s="74">
        <v>10000</v>
      </c>
      <c r="K15" s="40">
        <f>Table1[[#This Row],[Likelihood in %]]*Table1[[#This Row],[Cost if risk happens]]</f>
        <v>2000</v>
      </c>
      <c r="L15" s="74">
        <v>5000</v>
      </c>
      <c r="M15" s="41">
        <f>(Table1[[#This Row],[Value of risk]]-Table1[[#This Row],[Mitigation costs]])/Table1[[#This Row],[Mitigation costs]]</f>
        <v>-0.6</v>
      </c>
    </row>
    <row r="16" spans="2:13" ht="17" x14ac:dyDescent="0.2">
      <c r="B16" s="35">
        <f t="shared" si="0"/>
        <v>12</v>
      </c>
      <c r="C16" s="70" t="s">
        <v>73</v>
      </c>
      <c r="D16" s="70">
        <v>3</v>
      </c>
      <c r="E16" s="36">
        <f>IF(Table1[[#This Row],[Likelihood in %]]&gt;=90%,5,IF(Table1[[#This Row],[Likelihood in %]]&gt;=65%,4,IF(Table1[[#This Row],[Likelihood in %]]&gt;=35%,3,IF(Table1[[#This Row],[Likelihood in %]]&gt;=10%,2,1))))</f>
        <v>2</v>
      </c>
      <c r="F16" s="70" t="s">
        <v>74</v>
      </c>
      <c r="G16" s="70" t="s">
        <v>75</v>
      </c>
      <c r="H16" s="72"/>
      <c r="I16" s="73">
        <v>0.1</v>
      </c>
      <c r="J16" s="74">
        <v>10000</v>
      </c>
      <c r="K16" s="40">
        <f>Table1[[#This Row],[Likelihood in %]]*Table1[[#This Row],[Cost if risk happens]]</f>
        <v>1000</v>
      </c>
      <c r="L16" s="74">
        <v>5000</v>
      </c>
      <c r="M16" s="41">
        <f>(Table1[[#This Row],[Value of risk]]-Table1[[#This Row],[Mitigation costs]])/Table1[[#This Row],[Mitigation costs]]</f>
        <v>-0.8</v>
      </c>
    </row>
    <row r="17" spans="1:13" ht="17" x14ac:dyDescent="0.2">
      <c r="B17" s="35">
        <f t="shared" si="0"/>
        <v>13</v>
      </c>
      <c r="C17" s="70" t="s">
        <v>73</v>
      </c>
      <c r="D17" s="70">
        <v>1</v>
      </c>
      <c r="E17" s="36">
        <f>IF(Table1[[#This Row],[Likelihood in %]]&gt;=90%,5,IF(Table1[[#This Row],[Likelihood in %]]&gt;=65%,4,IF(Table1[[#This Row],[Likelihood in %]]&gt;=35%,3,IF(Table1[[#This Row],[Likelihood in %]]&gt;=10%,2,1))))</f>
        <v>2</v>
      </c>
      <c r="F17" s="70" t="s">
        <v>74</v>
      </c>
      <c r="G17" s="70" t="s">
        <v>75</v>
      </c>
      <c r="H17" s="72"/>
      <c r="I17" s="73">
        <v>0.1</v>
      </c>
      <c r="J17" s="74">
        <v>10000</v>
      </c>
      <c r="K17" s="40">
        <f>Table1[[#This Row],[Likelihood in %]]*Table1[[#This Row],[Cost if risk happens]]</f>
        <v>1000</v>
      </c>
      <c r="L17" s="74">
        <v>5000</v>
      </c>
      <c r="M17" s="41">
        <f>(Table1[[#This Row],[Value of risk]]-Table1[[#This Row],[Mitigation costs]])/Table1[[#This Row],[Mitigation costs]]</f>
        <v>-0.8</v>
      </c>
    </row>
    <row r="18" spans="1:13" ht="17" x14ac:dyDescent="0.2">
      <c r="B18" s="35">
        <f t="shared" si="0"/>
        <v>14</v>
      </c>
      <c r="C18" s="70" t="s">
        <v>73</v>
      </c>
      <c r="D18" s="70">
        <v>1</v>
      </c>
      <c r="E18" s="36">
        <f>IF(Table1[[#This Row],[Likelihood in %]]&gt;=90%,5,IF(Table1[[#This Row],[Likelihood in %]]&gt;=65%,4,IF(Table1[[#This Row],[Likelihood in %]]&gt;=35%,3,IF(Table1[[#This Row],[Likelihood in %]]&gt;=10%,2,1))))</f>
        <v>1</v>
      </c>
      <c r="F18" s="70" t="s">
        <v>74</v>
      </c>
      <c r="G18" s="70" t="s">
        <v>75</v>
      </c>
      <c r="H18" s="72"/>
      <c r="I18" s="73">
        <v>0.05</v>
      </c>
      <c r="J18" s="74">
        <v>10000</v>
      </c>
      <c r="K18" s="40">
        <f>Table1[[#This Row],[Likelihood in %]]*Table1[[#This Row],[Cost if risk happens]]</f>
        <v>500</v>
      </c>
      <c r="L18" s="74">
        <v>5000</v>
      </c>
      <c r="M18" s="41">
        <f>(Table1[[#This Row],[Value of risk]]-Table1[[#This Row],[Mitigation costs]])/Table1[[#This Row],[Mitigation costs]]</f>
        <v>-0.9</v>
      </c>
    </row>
    <row r="19" spans="1:13" ht="17" x14ac:dyDescent="0.2">
      <c r="B19" s="37">
        <f t="shared" si="0"/>
        <v>15</v>
      </c>
      <c r="C19" s="70" t="s">
        <v>73</v>
      </c>
      <c r="D19" s="71">
        <v>5</v>
      </c>
      <c r="E19" s="36">
        <f>IF(Table1[[#This Row],[Likelihood in %]]&gt;=90%,5,IF(Table1[[#This Row],[Likelihood in %]]&gt;=65%,4,IF(Table1[[#This Row],[Likelihood in %]]&gt;=35%,3,IF(Table1[[#This Row],[Likelihood in %]]&gt;=10%,2,1))))</f>
        <v>1</v>
      </c>
      <c r="F19" s="70" t="s">
        <v>74</v>
      </c>
      <c r="G19" s="70" t="s">
        <v>75</v>
      </c>
      <c r="H19" s="75"/>
      <c r="I19" s="76">
        <v>0.05</v>
      </c>
      <c r="J19" s="74">
        <v>10000</v>
      </c>
      <c r="K19" s="40">
        <f>Table1[[#This Row],[Likelihood in %]]*Table1[[#This Row],[Cost if risk happens]]</f>
        <v>500</v>
      </c>
      <c r="L19" s="74">
        <v>5000</v>
      </c>
      <c r="M19" s="42">
        <f>(Table1[[#This Row],[Value of risk]]-Table1[[#This Row],[Mitigation costs]])/Table1[[#This Row],[Mitigation costs]]</f>
        <v>-0.9</v>
      </c>
    </row>
    <row r="21" spans="1:13" x14ac:dyDescent="0.2">
      <c r="C21" s="2">
        <v>1</v>
      </c>
      <c r="D21" s="2">
        <v>2</v>
      </c>
      <c r="E21" s="2">
        <v>3</v>
      </c>
      <c r="F21" s="2">
        <v>4</v>
      </c>
      <c r="G21" s="2">
        <v>5</v>
      </c>
    </row>
    <row r="22" spans="1:13" ht="32" customHeight="1" x14ac:dyDescent="0.2">
      <c r="B22" s="58" t="s">
        <v>51</v>
      </c>
      <c r="C22" s="77" t="s">
        <v>61</v>
      </c>
      <c r="D22" s="77" t="s">
        <v>62</v>
      </c>
      <c r="E22" s="77" t="s">
        <v>56</v>
      </c>
      <c r="F22" s="77" t="s">
        <v>44</v>
      </c>
      <c r="G22" s="77" t="s">
        <v>43</v>
      </c>
      <c r="I22" s="43"/>
      <c r="J22" s="47"/>
      <c r="K22" s="66"/>
    </row>
    <row r="23" spans="1:13" ht="100" customHeight="1" x14ac:dyDescent="0.2">
      <c r="A23" s="2">
        <v>5</v>
      </c>
      <c r="B23" s="77" t="s">
        <v>58</v>
      </c>
      <c r="C23" s="67" t="str" cm="1">
        <f t="array" ref="C23">"› "&amp;_xlfn.TEXTJOIN(CHAR(10)&amp;"› ",TRUE,IF(Table1[Likelihood]=$A23,IF(Table1[Impact]=C$21,Table1[Risk],""),""))</f>
        <v xml:space="preserve">› </v>
      </c>
      <c r="D23" s="65" t="str" cm="1">
        <f t="array" ref="D23">"› "&amp;_xlfn.TEXTJOIN(CHAR(10)&amp;"› ",TRUE,IF(Table1[Likelihood]=$A23,IF(Table1[Impact]=D$21,Table1[Risk],""),""))</f>
        <v xml:space="preserve">› </v>
      </c>
      <c r="E23" s="65" t="str" cm="1">
        <f t="array" ref="E23">"› "&amp;_xlfn.TEXTJOIN(CHAR(10)&amp;"› ",TRUE,IF(Table1[Likelihood]=$A23,IF(Table1[Impact]=E$21,Table1[Risk],""),""))</f>
        <v xml:space="preserve">› </v>
      </c>
      <c r="F23" s="64" t="str" cm="1">
        <f t="array" ref="F23">"› "&amp;_xlfn.TEXTJOIN(CHAR(10)&amp;"› ",TRUE,IF(Table1[Likelihood]=$A23,IF(Table1[Impact]=F$21,Table1[Risk],""),""))</f>
        <v xml:space="preserve">› </v>
      </c>
      <c r="G23" s="64" t="str" cm="1">
        <f t="array" ref="G23">"› "&amp;_xlfn.TEXTJOIN(CHAR(10)&amp;"› ",TRUE,IF(Table1[Likelihood]=$A23,IF(Table1[Impact]=G$21,Table1[Risk],""),""))</f>
        <v>› [Insert risk]</v>
      </c>
      <c r="I23" s="43"/>
      <c r="J23" s="47"/>
      <c r="K23" s="66"/>
    </row>
    <row r="24" spans="1:13" ht="100" customHeight="1" x14ac:dyDescent="0.2">
      <c r="A24" s="2">
        <v>4</v>
      </c>
      <c r="B24" s="77" t="s">
        <v>37</v>
      </c>
      <c r="C24" s="67" t="str" cm="1">
        <f t="array" ref="C24">"› "&amp;_xlfn.TEXTJOIN(CHAR(10)&amp;"› ",TRUE,IF(Table1[Likelihood]=$A24,IF(Table1[Impact]=C$21,Table1[Risk],""),""))</f>
        <v xml:space="preserve">› </v>
      </c>
      <c r="D24" s="68" t="str" cm="1">
        <f t="array" ref="D24">"› "&amp;_xlfn.TEXTJOIN(CHAR(10)&amp;"› ",TRUE,IF(Table1[Likelihood]=$A24,IF(Table1[Impact]=D$21,Table1[Risk],""),""))</f>
        <v xml:space="preserve">› </v>
      </c>
      <c r="E24" s="65" t="str" cm="1">
        <f t="array" ref="E24">"› "&amp;_xlfn.TEXTJOIN(CHAR(10)&amp;"› ",TRUE,IF(Table1[Likelihood]=$A24,IF(Table1[Impact]=E$21,Table1[Risk],""),""))</f>
        <v xml:space="preserve">› </v>
      </c>
      <c r="F24" s="65" t="str" cm="1">
        <f t="array" ref="F24">"› "&amp;_xlfn.TEXTJOIN(CHAR(10)&amp;"› ",TRUE,IF(Table1[Likelihood]=$A24,IF(Table1[Impact]=F$21,Table1[Risk],""),""))</f>
        <v>› [Insert risk]</v>
      </c>
      <c r="G24" s="64" t="str" cm="1">
        <f t="array" ref="G24">"› "&amp;_xlfn.TEXTJOIN(CHAR(10)&amp;"› ",TRUE,IF(Table1[Likelihood]=$A24,IF(Table1[Impact]=G$21,Table1[Risk],""),""))</f>
        <v>› [Insert risk]</v>
      </c>
      <c r="I24" s="43"/>
      <c r="J24" s="47"/>
      <c r="K24" s="66"/>
    </row>
    <row r="25" spans="1:13" ht="100" customHeight="1" x14ac:dyDescent="0.2">
      <c r="A25" s="2">
        <v>3</v>
      </c>
      <c r="B25" s="77" t="s">
        <v>59</v>
      </c>
      <c r="C25" s="67" t="str" cm="1">
        <f t="array" ref="C25">"› "&amp;_xlfn.TEXTJOIN(CHAR(10)&amp;"› ",TRUE,IF(Table1[Likelihood]=$A25,IF(Table1[Impact]=C$21,Table1[Risk],""),""))</f>
        <v xml:space="preserve">› </v>
      </c>
      <c r="D25" s="67" t="str" cm="1">
        <f t="array" ref="D25">"› "&amp;_xlfn.TEXTJOIN(CHAR(10)&amp;"› ",TRUE,IF(Table1[Likelihood]=$A25,IF(Table1[Impact]=D$21,Table1[Risk],""),""))</f>
        <v xml:space="preserve">› </v>
      </c>
      <c r="E25" s="68" t="str" cm="1">
        <f t="array" ref="E25">"› "&amp;_xlfn.TEXTJOIN(CHAR(10)&amp;"› ",TRUE,IF(Table1[Likelihood]=$A25,IF(Table1[Impact]=E$21,Table1[Risk],""),""))</f>
        <v xml:space="preserve">› </v>
      </c>
      <c r="F25" s="65" t="str" cm="1">
        <f t="array" ref="F25">"› "&amp;_xlfn.TEXTJOIN(CHAR(10)&amp;"› ",TRUE,IF(Table1[Likelihood]=$A25,IF(Table1[Impact]=F$21,Table1[Risk],""),""))</f>
        <v>› [Insert risk]
› [Insert risk]</v>
      </c>
      <c r="G25" s="65" t="str" cm="1">
        <f t="array" ref="G25">"› "&amp;_xlfn.TEXTJOIN(CHAR(10)&amp;"› ",TRUE,IF(Table1[Likelihood]=$A25,IF(Table1[Impact]=G$21,Table1[Risk],""),""))</f>
        <v xml:space="preserve">› </v>
      </c>
      <c r="I25" s="43"/>
      <c r="J25" s="47"/>
      <c r="K25" s="66"/>
    </row>
    <row r="26" spans="1:13" ht="100" customHeight="1" x14ac:dyDescent="0.2">
      <c r="A26" s="2">
        <v>2</v>
      </c>
      <c r="B26" s="77" t="s">
        <v>60</v>
      </c>
      <c r="C26" s="69" t="str" cm="1">
        <f t="array" ref="C26">"› "&amp;_xlfn.TEXTJOIN(CHAR(10)&amp;"› ",TRUE,IF(Table1[Likelihood]=$A26,IF(Table1[Impact]=C$21,Table1[Risk],""),""))</f>
        <v>› [Insert risk]
› [Insert risk]
› [Insert risk]
› [Insert risk]</v>
      </c>
      <c r="D26" s="67" t="str" cm="1">
        <f t="array" ref="D26">"› "&amp;_xlfn.TEXTJOIN(CHAR(10)&amp;"› ",TRUE,IF(Table1[Likelihood]=$A26,IF(Table1[Impact]=D$21,Table1[Risk],""),""))</f>
        <v xml:space="preserve">› </v>
      </c>
      <c r="E26" s="67" t="str" cm="1">
        <f t="array" ref="E26">"› "&amp;_xlfn.TEXTJOIN(CHAR(10)&amp;"› ",TRUE,IF(Table1[Likelihood]=$A26,IF(Table1[Impact]=E$21,Table1[Risk],""),""))</f>
        <v>› [Insert risk]
› [Insert risk]
› [Insert risk]</v>
      </c>
      <c r="F26" s="68" t="str" cm="1">
        <f t="array" ref="F26">"› "&amp;_xlfn.TEXTJOIN(CHAR(10)&amp;"› ",TRUE,IF(Table1[Likelihood]=$A26,IF(Table1[Impact]=F$21,Table1[Risk],""),""))</f>
        <v>› [Insert risk]</v>
      </c>
      <c r="G26" s="65" t="str" cm="1">
        <f t="array" ref="G26">"› "&amp;_xlfn.TEXTJOIN(CHAR(10)&amp;"› ",TRUE,IF(Table1[Likelihood]=$A26,IF(Table1[Impact]=G$21,Table1[Risk],""),""))</f>
        <v xml:space="preserve">› </v>
      </c>
      <c r="I26" s="43"/>
      <c r="J26" s="47"/>
      <c r="K26" s="66"/>
    </row>
    <row r="27" spans="1:13" ht="100" customHeight="1" x14ac:dyDescent="0.2">
      <c r="A27" s="2">
        <v>1</v>
      </c>
      <c r="B27" s="77" t="s">
        <v>40</v>
      </c>
      <c r="C27" s="69" t="str" cm="1">
        <f t="array" ref="C27">"› "&amp;_xlfn.TEXTJOIN(CHAR(10)&amp;"› ",TRUE,IF(Table1[Likelihood]=$A27,IF(Table1[Impact]=C$21,Table1[Risk],""),""))</f>
        <v>› [Insert risk]</v>
      </c>
      <c r="D27" s="69" t="str" cm="1">
        <f t="array" ref="D27">"› "&amp;_xlfn.TEXTJOIN(CHAR(10)&amp;"› ",TRUE,IF(Table1[Likelihood]=$A27,IF(Table1[Impact]=D$21,Table1[Risk],""),""))</f>
        <v xml:space="preserve">› </v>
      </c>
      <c r="E27" s="67" t="str" cm="1">
        <f t="array" ref="E27">"› "&amp;_xlfn.TEXTJOIN(CHAR(10)&amp;"› ",TRUE,IF(Table1[Likelihood]=$A27,IF(Table1[Impact]=E$21,Table1[Risk],""),""))</f>
        <v xml:space="preserve">› </v>
      </c>
      <c r="F27" s="67" t="str" cm="1">
        <f t="array" ref="F27">"› "&amp;_xlfn.TEXTJOIN(CHAR(10)&amp;"› ",TRUE,IF(Table1[Likelihood]=$A27,IF(Table1[Impact]=F$21,Table1[Risk],""),""))</f>
        <v xml:space="preserve">› </v>
      </c>
      <c r="G27" s="67" t="str" cm="1">
        <f t="array" ref="G27">"› "&amp;_xlfn.TEXTJOIN(CHAR(10)&amp;"› ",TRUE,IF(Table1[Likelihood]=$A27,IF(Table1[Impact]=G$21,Table1[Risk],""),""))</f>
        <v>› [Insert risk]</v>
      </c>
    </row>
    <row r="28" spans="1:13" x14ac:dyDescent="0.2">
      <c r="E28" s="66"/>
    </row>
    <row r="29" spans="1:13" ht="30" customHeight="1" x14ac:dyDescent="0.2">
      <c r="B29" s="62" t="s">
        <v>53</v>
      </c>
      <c r="C29" s="63" t="s">
        <v>52</v>
      </c>
      <c r="D29" s="63"/>
      <c r="E29" s="59"/>
    </row>
    <row r="30" spans="1:13" ht="30" customHeight="1" x14ac:dyDescent="0.2">
      <c r="B30" s="62" t="s">
        <v>54</v>
      </c>
      <c r="C30" s="63" t="s">
        <v>52</v>
      </c>
      <c r="D30" s="63"/>
      <c r="E30" s="60"/>
    </row>
    <row r="31" spans="1:13" ht="30" customHeight="1" x14ac:dyDescent="0.2">
      <c r="B31" s="62" t="s">
        <v>55</v>
      </c>
      <c r="C31" s="63" t="s">
        <v>71</v>
      </c>
      <c r="D31" s="63"/>
      <c r="E31" s="60"/>
    </row>
    <row r="32" spans="1:13" ht="30" customHeight="1" x14ac:dyDescent="0.2">
      <c r="B32" s="62" t="s">
        <v>56</v>
      </c>
      <c r="C32" s="63" t="s">
        <v>69</v>
      </c>
      <c r="D32" s="63"/>
      <c r="E32" s="61"/>
    </row>
    <row r="33" spans="2:4" ht="40" customHeight="1" x14ac:dyDescent="0.2">
      <c r="B33" s="62" t="s">
        <v>57</v>
      </c>
      <c r="C33" s="63" t="s">
        <v>70</v>
      </c>
      <c r="D33" s="63"/>
    </row>
  </sheetData>
  <mergeCells count="5">
    <mergeCell ref="C33:D33"/>
    <mergeCell ref="C29:D29"/>
    <mergeCell ref="C30:D30"/>
    <mergeCell ref="C31:D31"/>
    <mergeCell ref="C32:D32"/>
  </mergeCells>
  <conditionalFormatting sqref="C23:G27">
    <cfRule type="expression" dxfId="0" priority="3">
      <formula>LEN(C23)&lt;4</formula>
    </cfRule>
  </conditionalFormatting>
  <conditionalFormatting sqref="B29:C32">
    <cfRule type="expression" dxfId="14" priority="2">
      <formula>LEN(B29)&lt;4</formula>
    </cfRule>
  </conditionalFormatting>
  <conditionalFormatting sqref="B33:C33">
    <cfRule type="expression" dxfId="13" priority="1">
      <formula>LEN(B33)&lt;4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1EBF7-337F-9342-8F7D-BCAACC7D920D}">
  <dimension ref="B2:G21"/>
  <sheetViews>
    <sheetView zoomScale="75" workbookViewId="0">
      <selection activeCell="D60" sqref="D60"/>
    </sheetView>
  </sheetViews>
  <sheetFormatPr baseColWidth="10" defaultRowHeight="16" x14ac:dyDescent="0.2"/>
  <cols>
    <col min="1" max="1" width="2.5703125" style="2" customWidth="1"/>
    <col min="2" max="2" width="18" style="2" customWidth="1"/>
    <col min="3" max="3" width="8.140625" style="2" customWidth="1"/>
    <col min="4" max="4" width="79.28515625" style="2" customWidth="1"/>
    <col min="5" max="5" width="54.7109375" style="2" customWidth="1"/>
    <col min="6" max="16384" width="10.7109375" style="2"/>
  </cols>
  <sheetData>
    <row r="2" spans="2:7" ht="25" x14ac:dyDescent="0.25">
      <c r="B2" s="31" t="s">
        <v>33</v>
      </c>
    </row>
    <row r="4" spans="2:7" x14ac:dyDescent="0.2">
      <c r="B4" s="48" t="s">
        <v>24</v>
      </c>
      <c r="C4" s="52" t="s">
        <v>34</v>
      </c>
      <c r="D4" s="48" t="s">
        <v>35</v>
      </c>
      <c r="F4" s="46"/>
      <c r="G4" s="46"/>
    </row>
    <row r="5" spans="2:7" x14ac:dyDescent="0.2">
      <c r="B5" s="49" t="s">
        <v>58</v>
      </c>
      <c r="C5" s="50">
        <v>5</v>
      </c>
      <c r="D5" s="51" t="s">
        <v>36</v>
      </c>
      <c r="F5" s="47"/>
      <c r="G5" s="47"/>
    </row>
    <row r="6" spans="2:7" x14ac:dyDescent="0.2">
      <c r="B6" s="49" t="s">
        <v>37</v>
      </c>
      <c r="C6" s="50">
        <v>4</v>
      </c>
      <c r="D6" s="51" t="s">
        <v>38</v>
      </c>
      <c r="F6" s="47"/>
      <c r="G6" s="47"/>
    </row>
    <row r="7" spans="2:7" x14ac:dyDescent="0.2">
      <c r="B7" s="49" t="s">
        <v>59</v>
      </c>
      <c r="C7" s="50">
        <v>3</v>
      </c>
      <c r="D7" s="51" t="s">
        <v>39</v>
      </c>
      <c r="F7" s="47"/>
      <c r="G7" s="47"/>
    </row>
    <row r="8" spans="2:7" x14ac:dyDescent="0.2">
      <c r="B8" s="49" t="s">
        <v>60</v>
      </c>
      <c r="C8" s="50">
        <v>2</v>
      </c>
      <c r="D8" s="51" t="s">
        <v>41</v>
      </c>
      <c r="F8" s="47"/>
      <c r="G8" s="47"/>
    </row>
    <row r="9" spans="2:7" x14ac:dyDescent="0.2">
      <c r="B9" s="49" t="s">
        <v>40</v>
      </c>
      <c r="C9" s="50">
        <v>1</v>
      </c>
      <c r="D9" s="51" t="s">
        <v>42</v>
      </c>
      <c r="F9" s="47"/>
      <c r="G9" s="47"/>
    </row>
    <row r="10" spans="2:7" x14ac:dyDescent="0.2">
      <c r="B10" s="44"/>
      <c r="C10" s="44"/>
      <c r="D10" s="44"/>
      <c r="E10" s="44"/>
      <c r="F10" s="44"/>
      <c r="G10" s="44"/>
    </row>
    <row r="11" spans="2:7" x14ac:dyDescent="0.2">
      <c r="B11" s="48" t="s">
        <v>23</v>
      </c>
      <c r="C11" s="52" t="s">
        <v>34</v>
      </c>
      <c r="D11" s="48" t="s">
        <v>35</v>
      </c>
      <c r="F11" s="46"/>
      <c r="G11" s="46"/>
    </row>
    <row r="12" spans="2:7" ht="17" x14ac:dyDescent="0.2">
      <c r="B12" s="49" t="s">
        <v>43</v>
      </c>
      <c r="C12" s="50">
        <v>5</v>
      </c>
      <c r="D12" s="54" t="s">
        <v>64</v>
      </c>
      <c r="F12" s="53"/>
      <c r="G12" s="53"/>
    </row>
    <row r="13" spans="2:7" ht="51" x14ac:dyDescent="0.2">
      <c r="B13" s="49" t="s">
        <v>44</v>
      </c>
      <c r="C13" s="50">
        <v>4</v>
      </c>
      <c r="D13" s="54" t="s">
        <v>45</v>
      </c>
      <c r="F13" s="53"/>
      <c r="G13" s="53"/>
    </row>
    <row r="14" spans="2:7" ht="51" x14ac:dyDescent="0.2">
      <c r="B14" s="49" t="s">
        <v>56</v>
      </c>
      <c r="C14" s="50">
        <v>3</v>
      </c>
      <c r="D14" s="54" t="s">
        <v>46</v>
      </c>
      <c r="F14" s="53"/>
      <c r="G14" s="53"/>
    </row>
    <row r="15" spans="2:7" ht="17" x14ac:dyDescent="0.2">
      <c r="B15" s="49" t="s">
        <v>62</v>
      </c>
      <c r="C15" s="50">
        <v>2</v>
      </c>
      <c r="D15" s="54" t="s">
        <v>47</v>
      </c>
      <c r="F15" s="53"/>
      <c r="G15" s="53"/>
    </row>
    <row r="16" spans="2:7" ht="36" customHeight="1" x14ac:dyDescent="0.2">
      <c r="B16" s="49" t="s">
        <v>61</v>
      </c>
      <c r="C16" s="50">
        <v>1</v>
      </c>
      <c r="D16" s="54" t="s">
        <v>63</v>
      </c>
      <c r="F16" s="47"/>
      <c r="G16" s="47"/>
    </row>
    <row r="17" spans="2:7" x14ac:dyDescent="0.2">
      <c r="B17" s="45"/>
      <c r="C17" s="44"/>
      <c r="D17" s="44"/>
      <c r="E17" s="44"/>
      <c r="F17" s="44"/>
      <c r="G17" s="44"/>
    </row>
    <row r="18" spans="2:7" x14ac:dyDescent="0.2">
      <c r="B18" s="55" t="s">
        <v>49</v>
      </c>
      <c r="C18" s="56"/>
      <c r="D18" s="55" t="s">
        <v>35</v>
      </c>
      <c r="E18" s="46"/>
      <c r="F18" s="46"/>
      <c r="G18" s="46"/>
    </row>
    <row r="19" spans="2:7" ht="34" x14ac:dyDescent="0.2">
      <c r="B19" s="49" t="s">
        <v>48</v>
      </c>
      <c r="C19" s="57"/>
      <c r="D19" s="54" t="s">
        <v>65</v>
      </c>
      <c r="E19" s="47"/>
      <c r="F19" s="47"/>
      <c r="G19" s="47"/>
    </row>
    <row r="20" spans="2:7" ht="17" x14ac:dyDescent="0.2">
      <c r="B20" s="49" t="s">
        <v>50</v>
      </c>
      <c r="C20" s="57"/>
      <c r="D20" s="54" t="s">
        <v>66</v>
      </c>
      <c r="E20" s="47"/>
      <c r="F20" s="47"/>
      <c r="G20" s="47"/>
    </row>
    <row r="21" spans="2:7" ht="34" x14ac:dyDescent="0.2">
      <c r="B21" s="49" t="s">
        <v>68</v>
      </c>
      <c r="C21" s="57"/>
      <c r="D21" s="54" t="s">
        <v>67</v>
      </c>
      <c r="E21" s="47"/>
      <c r="F21" s="47"/>
      <c r="G21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Slideworks guide</vt:lpstr>
      <vt:lpstr>Project overview</vt:lpstr>
      <vt:lpstr>Risks</vt:lpstr>
      <vt:lpstr>Definitions</vt:lpstr>
    </vt:vector>
  </TitlesOfParts>
  <Manager>Slideworks</Manager>
  <Company>Slideworks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Slideworks business case template RISK matrix</dc:title>
  <dc:subject>Business case risks</dc:subject>
  <dc:creator>Slideworks</dc:creator>
  <cp:keywords>business case, risk management</cp:keywords>
  <dc:description>Copyright of Slideworks.io. Any unauthorized distribution prohibited. See our full terms and conditions at https://slideworks.io/terms </dc:description>
  <cp:lastModifiedBy>Alexandra Kampmann</cp:lastModifiedBy>
  <dcterms:created xsi:type="dcterms:W3CDTF">2025-02-04T13:31:44Z</dcterms:created>
  <dcterms:modified xsi:type="dcterms:W3CDTF">2025-03-05T10:38:07Z</dcterms:modified>
  <cp:category>business case</cp:category>
</cp:coreProperties>
</file>