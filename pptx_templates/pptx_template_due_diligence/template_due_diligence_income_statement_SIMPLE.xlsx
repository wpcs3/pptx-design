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7. Slideworks - Due diligence ONLINE/Final version for sale_JAN15/Excel template files/1. Income statement (P&amp;L)/"/>
    </mc:Choice>
  </mc:AlternateContent>
  <xr:revisionPtr revIDLastSave="0" documentId="13_ncr:1_{EF7D3B74-D9FA-E943-977B-56BF2C803508}" xr6:coauthVersionLast="47" xr6:coauthVersionMax="47" xr10:uidLastSave="{00000000-0000-0000-0000-000000000000}"/>
  <bookViews>
    <workbookView xWindow="28800" yWindow="500" windowWidth="51200" windowHeight="28300" xr2:uid="{00000000-000D-0000-FFFF-FFFF00000000}"/>
  </bookViews>
  <sheets>
    <sheet name="Simple P&amp;L - yearly" sheetId="10" r:id="rId1"/>
    <sheet name="Simple P&amp;L - monthly" sheetId="1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1" l="1"/>
  <c r="J35" i="11"/>
  <c r="H35" i="11"/>
  <c r="J33" i="11"/>
  <c r="I33" i="11"/>
  <c r="J22" i="11"/>
  <c r="H22" i="11"/>
  <c r="J20" i="11"/>
  <c r="I20" i="11"/>
  <c r="J18" i="11"/>
  <c r="I18" i="11"/>
  <c r="H18" i="11"/>
  <c r="M13" i="11"/>
  <c r="M23" i="11" s="1"/>
  <c r="M12" i="11"/>
  <c r="L12" i="11"/>
  <c r="J12" i="11"/>
  <c r="N9" i="11"/>
  <c r="N33" i="11" s="1"/>
  <c r="M9" i="11"/>
  <c r="M18" i="11" s="1"/>
  <c r="L9" i="11"/>
  <c r="L35" i="11" s="1"/>
  <c r="K9" i="11"/>
  <c r="K33" i="11" s="1"/>
  <c r="J9" i="11"/>
  <c r="J40" i="11" s="1"/>
  <c r="I9" i="11"/>
  <c r="I12" i="11" s="1"/>
  <c r="H9" i="11"/>
  <c r="H12" i="11" s="1"/>
  <c r="N7" i="11"/>
  <c r="M7" i="11"/>
  <c r="L7" i="11"/>
  <c r="K7" i="11"/>
  <c r="J7" i="11"/>
  <c r="I7" i="11"/>
  <c r="H7" i="11"/>
  <c r="C40" i="11"/>
  <c r="F20" i="11"/>
  <c r="E20" i="11"/>
  <c r="F12" i="11"/>
  <c r="E12" i="11"/>
  <c r="G9" i="11"/>
  <c r="G22" i="11" s="1"/>
  <c r="F9" i="11"/>
  <c r="F33" i="11" s="1"/>
  <c r="E9" i="11"/>
  <c r="E35" i="11" s="1"/>
  <c r="D9" i="11"/>
  <c r="D20" i="11" s="1"/>
  <c r="C9" i="11"/>
  <c r="C22" i="11" s="1"/>
  <c r="G7" i="11"/>
  <c r="F7" i="11"/>
  <c r="E7" i="11"/>
  <c r="D7" i="11"/>
  <c r="C43" i="10"/>
  <c r="M24" i="11" l="1"/>
  <c r="M28" i="11"/>
  <c r="N13" i="11"/>
  <c r="K22" i="11"/>
  <c r="N12" i="11"/>
  <c r="K20" i="11"/>
  <c r="K13" i="11"/>
  <c r="N18" i="11"/>
  <c r="K40" i="11"/>
  <c r="K12" i="11"/>
  <c r="L13" i="11"/>
  <c r="M14" i="11"/>
  <c r="H20" i="11"/>
  <c r="I22" i="11"/>
  <c r="H33" i="11"/>
  <c r="I35" i="11"/>
  <c r="L40" i="11"/>
  <c r="H13" i="11"/>
  <c r="K18" i="11"/>
  <c r="L20" i="11"/>
  <c r="M22" i="11"/>
  <c r="L33" i="11"/>
  <c r="M35" i="11"/>
  <c r="H40" i="11"/>
  <c r="G33" i="11"/>
  <c r="I13" i="11"/>
  <c r="L18" i="11"/>
  <c r="M20" i="11"/>
  <c r="N22" i="11"/>
  <c r="M33" i="11"/>
  <c r="N35" i="11"/>
  <c r="I40" i="11"/>
  <c r="K35" i="11"/>
  <c r="N40" i="11"/>
  <c r="L22" i="11"/>
  <c r="J13" i="11"/>
  <c r="N20" i="11"/>
  <c r="G12" i="11"/>
  <c r="D18" i="11"/>
  <c r="G20" i="11"/>
  <c r="D35" i="11"/>
  <c r="E40" i="11"/>
  <c r="D40" i="11"/>
  <c r="E13" i="11"/>
  <c r="G18" i="11"/>
  <c r="E22" i="11"/>
  <c r="D33" i="11"/>
  <c r="G35" i="11"/>
  <c r="D13" i="11"/>
  <c r="F18" i="11"/>
  <c r="D22" i="11"/>
  <c r="C33" i="11"/>
  <c r="F35" i="11"/>
  <c r="G40" i="11"/>
  <c r="C12" i="11"/>
  <c r="F13" i="11"/>
  <c r="C20" i="11"/>
  <c r="F22" i="11"/>
  <c r="E33" i="11"/>
  <c r="C18" i="11"/>
  <c r="C35" i="11"/>
  <c r="C13" i="11"/>
  <c r="E18" i="11"/>
  <c r="F40" i="11"/>
  <c r="D12" i="11"/>
  <c r="G13" i="11"/>
  <c r="I14" i="11" l="1"/>
  <c r="I23" i="11"/>
  <c r="I15" i="11"/>
  <c r="K14" i="11"/>
  <c r="K15" i="11"/>
  <c r="K23" i="11"/>
  <c r="H23" i="11"/>
  <c r="H14" i="11"/>
  <c r="H15" i="11"/>
  <c r="M36" i="11"/>
  <c r="M29" i="11"/>
  <c r="J14" i="11"/>
  <c r="J15" i="11"/>
  <c r="J23" i="11"/>
  <c r="L15" i="11"/>
  <c r="L14" i="11"/>
  <c r="L23" i="11"/>
  <c r="N23" i="11"/>
  <c r="N15" i="11"/>
  <c r="N14" i="11"/>
  <c r="M15" i="11"/>
  <c r="E15" i="11"/>
  <c r="E23" i="11"/>
  <c r="E14" i="11"/>
  <c r="G15" i="11"/>
  <c r="G23" i="11"/>
  <c r="G14" i="11"/>
  <c r="D23" i="11"/>
  <c r="D15" i="11"/>
  <c r="D14" i="11"/>
  <c r="F15" i="11"/>
  <c r="F23" i="11"/>
  <c r="F14" i="11"/>
  <c r="C23" i="11"/>
  <c r="C14" i="11"/>
  <c r="K28" i="11" l="1"/>
  <c r="K24" i="11"/>
  <c r="K25" i="11"/>
  <c r="J25" i="11"/>
  <c r="J28" i="11"/>
  <c r="J24" i="11"/>
  <c r="H28" i="11"/>
  <c r="H24" i="11"/>
  <c r="H25" i="11"/>
  <c r="N24" i="11"/>
  <c r="N25" i="11"/>
  <c r="N28" i="11"/>
  <c r="M41" i="11"/>
  <c r="M42" i="11"/>
  <c r="M37" i="11"/>
  <c r="L25" i="11"/>
  <c r="L28" i="11"/>
  <c r="L24" i="11"/>
  <c r="M25" i="11"/>
  <c r="I24" i="11"/>
  <c r="I25" i="11"/>
  <c r="I28" i="11"/>
  <c r="C28" i="11"/>
  <c r="C24" i="11"/>
  <c r="D28" i="11"/>
  <c r="D24" i="11"/>
  <c r="D25" i="11"/>
  <c r="G25" i="11"/>
  <c r="G24" i="11"/>
  <c r="G28" i="11"/>
  <c r="F28" i="11"/>
  <c r="F25" i="11"/>
  <c r="F24" i="11"/>
  <c r="E24" i="11"/>
  <c r="E25" i="11"/>
  <c r="E28" i="11"/>
  <c r="L29" i="11" l="1"/>
  <c r="L36" i="11"/>
  <c r="L30" i="11"/>
  <c r="M30" i="11"/>
  <c r="K29" i="11"/>
  <c r="K30" i="11"/>
  <c r="K36" i="11"/>
  <c r="H36" i="11"/>
  <c r="H29" i="11"/>
  <c r="H30" i="11"/>
  <c r="I29" i="11"/>
  <c r="I30" i="11"/>
  <c r="I36" i="11"/>
  <c r="M43" i="11"/>
  <c r="J29" i="11"/>
  <c r="J36" i="11"/>
  <c r="J30" i="11"/>
  <c r="N36" i="11"/>
  <c r="N29" i="11"/>
  <c r="N30" i="11"/>
  <c r="E30" i="11"/>
  <c r="E36" i="11"/>
  <c r="E29" i="11"/>
  <c r="G29" i="11"/>
  <c r="G30" i="11"/>
  <c r="G36" i="11"/>
  <c r="D36" i="11"/>
  <c r="D29" i="11"/>
  <c r="D30" i="11"/>
  <c r="F36" i="11"/>
  <c r="F29" i="11"/>
  <c r="F30" i="11"/>
  <c r="C29" i="11"/>
  <c r="C36" i="11"/>
  <c r="H41" i="11" l="1"/>
  <c r="H42" i="11"/>
  <c r="H37" i="11"/>
  <c r="K41" i="11"/>
  <c r="K42" i="11"/>
  <c r="K37" i="11"/>
  <c r="I37" i="11"/>
  <c r="I42" i="11"/>
  <c r="I41" i="11"/>
  <c r="N37" i="11"/>
  <c r="N42" i="11"/>
  <c r="N41" i="11"/>
  <c r="L42" i="11"/>
  <c r="L41" i="11"/>
  <c r="L37" i="11"/>
  <c r="J41" i="11"/>
  <c r="J42" i="11"/>
  <c r="J37" i="11"/>
  <c r="D42" i="11"/>
  <c r="D41" i="11"/>
  <c r="D37" i="11"/>
  <c r="G37" i="11"/>
  <c r="G42" i="11"/>
  <c r="G41" i="11"/>
  <c r="F37" i="11"/>
  <c r="F42" i="11"/>
  <c r="F41" i="11"/>
  <c r="C37" i="11"/>
  <c r="C41" i="11"/>
  <c r="C42" i="11"/>
  <c r="C43" i="11" s="1"/>
  <c r="E41" i="11"/>
  <c r="E42" i="11"/>
  <c r="E37" i="11"/>
  <c r="I43" i="11" l="1"/>
  <c r="I44" i="11"/>
  <c r="L43" i="11"/>
  <c r="L44" i="11"/>
  <c r="M44" i="11"/>
  <c r="H44" i="11"/>
  <c r="H43" i="11"/>
  <c r="K44" i="11"/>
  <c r="K43" i="11"/>
  <c r="N44" i="11"/>
  <c r="N43" i="11"/>
  <c r="J43" i="11"/>
  <c r="J44" i="11"/>
  <c r="G44" i="11"/>
  <c r="G43" i="11"/>
  <c r="E43" i="11"/>
  <c r="E44" i="11"/>
  <c r="F44" i="11"/>
  <c r="F43" i="11"/>
  <c r="D43" i="11"/>
  <c r="D44" i="11"/>
  <c r="D7" i="10" l="1"/>
  <c r="E9" i="10"/>
  <c r="E35" i="10" s="1"/>
  <c r="E7" i="10"/>
  <c r="F9" i="10"/>
  <c r="F13" i="10" s="1"/>
  <c r="F14" i="10" s="1"/>
  <c r="F7" i="10"/>
  <c r="D4" i="10"/>
  <c r="E4" i="10" s="1"/>
  <c r="F4" i="10" s="1"/>
  <c r="G9" i="10"/>
  <c r="G35" i="10" s="1"/>
  <c r="D9" i="10"/>
  <c r="D33" i="10" s="1"/>
  <c r="C9" i="10"/>
  <c r="C33" i="10" s="1"/>
  <c r="G7" i="10"/>
  <c r="F23" i="10" l="1"/>
  <c r="F28" i="10" s="1"/>
  <c r="F12" i="10"/>
  <c r="D12" i="10"/>
  <c r="D22" i="10"/>
  <c r="C22" i="10"/>
  <c r="F24" i="10"/>
  <c r="C12" i="10"/>
  <c r="D35" i="10"/>
  <c r="F18" i="10"/>
  <c r="D20" i="10"/>
  <c r="E22" i="10"/>
  <c r="D18" i="10"/>
  <c r="E18" i="10"/>
  <c r="E33" i="10"/>
  <c r="F29" i="10"/>
  <c r="C20" i="10"/>
  <c r="C35" i="10"/>
  <c r="F36" i="10"/>
  <c r="G12" i="10"/>
  <c r="G18" i="10"/>
  <c r="F33" i="10"/>
  <c r="F22" i="10"/>
  <c r="G33" i="10"/>
  <c r="G22" i="10"/>
  <c r="E20" i="10"/>
  <c r="E12" i="10"/>
  <c r="C18" i="10"/>
  <c r="F20" i="10"/>
  <c r="G20" i="10"/>
  <c r="F35" i="10"/>
  <c r="C13" i="10"/>
  <c r="D13" i="10"/>
  <c r="E13" i="10"/>
  <c r="G13" i="10"/>
  <c r="G4" i="10"/>
  <c r="F41" i="10" l="1"/>
  <c r="F37" i="10"/>
  <c r="G14" i="10"/>
  <c r="G23" i="10"/>
  <c r="E14" i="10"/>
  <c r="E23" i="10"/>
  <c r="D14" i="10"/>
  <c r="D23" i="10"/>
  <c r="C14" i="10"/>
  <c r="C23" i="10"/>
  <c r="F40" i="10"/>
  <c r="E15" i="10"/>
  <c r="F15" i="10"/>
  <c r="G15" i="10"/>
  <c r="D15" i="10"/>
  <c r="D28" i="10" l="1"/>
  <c r="D24" i="10"/>
  <c r="C24" i="10"/>
  <c r="C28" i="10"/>
  <c r="G28" i="10"/>
  <c r="G24" i="10"/>
  <c r="E28" i="10"/>
  <c r="E24" i="10"/>
  <c r="F42" i="10"/>
  <c r="F43" i="10" s="1"/>
  <c r="E25" i="10"/>
  <c r="F25" i="10"/>
  <c r="D25" i="10"/>
  <c r="G25" i="10"/>
  <c r="E36" i="10" l="1"/>
  <c r="E29" i="10"/>
  <c r="F30" i="10"/>
  <c r="E30" i="10"/>
  <c r="G30" i="10"/>
  <c r="G29" i="10"/>
  <c r="G36" i="10"/>
  <c r="D30" i="10"/>
  <c r="C29" i="10"/>
  <c r="C36" i="10"/>
  <c r="D36" i="10"/>
  <c r="D29" i="10"/>
  <c r="G41" i="10" l="1"/>
  <c r="G37" i="10"/>
  <c r="C41" i="10"/>
  <c r="C37" i="10"/>
  <c r="D41" i="10"/>
  <c r="D37" i="10"/>
  <c r="E41" i="10"/>
  <c r="E37" i="10"/>
  <c r="G40" i="10"/>
  <c r="D40" i="10"/>
  <c r="D42" i="10"/>
  <c r="D43" i="10" s="1"/>
  <c r="C42" i="10"/>
  <c r="C40" i="10"/>
  <c r="E40" i="10"/>
  <c r="E42" i="10"/>
  <c r="E43" i="10" s="1"/>
  <c r="E44" i="10" l="1"/>
  <c r="F44" i="10"/>
  <c r="D44" i="10"/>
  <c r="G42" i="10"/>
  <c r="G44" i="10" l="1"/>
  <c r="G43" i="10"/>
</calcChain>
</file>

<file path=xl/sharedStrings.xml><?xml version="1.0" encoding="utf-8"?>
<sst xmlns="http://schemas.openxmlformats.org/spreadsheetml/2006/main" count="84" uniqueCount="43">
  <si>
    <t>Other income</t>
  </si>
  <si>
    <t>Salaries</t>
  </si>
  <si>
    <t>EBITDA</t>
  </si>
  <si>
    <t>Growth in EBITDA</t>
  </si>
  <si>
    <t>Interest expenses</t>
  </si>
  <si>
    <t>Interest income</t>
  </si>
  <si>
    <t>Revenues</t>
  </si>
  <si>
    <t>In % of total revenue</t>
  </si>
  <si>
    <t>Other costs</t>
  </si>
  <si>
    <t>Depreciation and amortization</t>
  </si>
  <si>
    <t>Operating income (EBIT)</t>
  </si>
  <si>
    <t>Growth in operating income (EBIT)</t>
  </si>
  <si>
    <t>Profit before tax</t>
  </si>
  <si>
    <t>Income tax</t>
  </si>
  <si>
    <t>Net result</t>
  </si>
  <si>
    <t>Profit &amp; loss statement (income statement)</t>
  </si>
  <si>
    <t>SG&amp;A (selling, general, and administration costs)</t>
  </si>
  <si>
    <t>COGS (cost of goods sold)</t>
  </si>
  <si>
    <t>Gross margin</t>
  </si>
  <si>
    <t>Growth in gross margin</t>
  </si>
  <si>
    <t>Total revenues</t>
  </si>
  <si>
    <t>In % of profit before tax</t>
  </si>
  <si>
    <t>Currency: [Insert currency unit e.g, EUR M or USD millions)</t>
  </si>
  <si>
    <t>Gross margin as % of total revenues</t>
  </si>
  <si>
    <t>EBITDA margin as % of total revenues</t>
  </si>
  <si>
    <t>EBIT margin as % of total revenues</t>
  </si>
  <si>
    <t>Profit margin as % of total revenues</t>
  </si>
  <si>
    <t>Net result as &amp; of total revenues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</si>
  <si>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</si>
  <si>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</si>
  <si>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</si>
  <si>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</si>
  <si>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</si>
  <si>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</si>
  <si>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</si>
  <si>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</si>
  <si>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</si>
  <si>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</si>
  <si>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</si>
  <si>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</si>
  <si>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growth</t>
  </si>
  <si>
    <t>Year-on-year growth</t>
  </si>
  <si>
    <t>Net result as % of total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</si>
</sst>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.0_);_(* \(#,##0.0\);_(* &quot;-&quot;?_);_(@_)"/>
  </numFmts>
  <fonts count="9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8"/>
      <color theme="0" tint="-0.249977111117893"/>
      <name val="Arial"/>
      <family val="2"/>
    </font>
    <font>
      <sz val="8"/>
      <color theme="0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4" fontId="8" fillId="0" borderId="0" xfId="1" applyNumberFormat="1" applyFont="1"/>
    <xf numFmtId="164" fontId="8" fillId="0" borderId="0" xfId="1" applyNumberFormat="1" applyFont="1" applyAlignment="1">
      <alignment horizontal="right"/>
    </xf>
    <xf numFmtId="0" fontId="3" fillId="0" borderId="1" xfId="0" applyFont="1" applyBorder="1"/>
    <xf numFmtId="164" fontId="8" fillId="0" borderId="0" xfId="0" applyNumberFormat="1" applyFont="1"/>
    <xf numFmtId="0" fontId="4" fillId="0" borderId="2" xfId="0" applyFont="1" applyBorder="1"/>
    <xf numFmtId="0" fontId="8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3" borderId="2" xfId="0" applyFont="1" applyFill="1" applyBorder="1"/>
    <xf numFmtId="165" fontId="4" fillId="3" borderId="2" xfId="0" applyNumberFormat="1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1" applyNumberFormat="1" applyFont="1" applyFill="1" applyBorder="1" applyAlignment="1">
      <alignment horizontal="right"/>
    </xf>
    <xf numFmtId="0" fontId="4" fillId="3" borderId="3" xfId="0" applyFont="1" applyFill="1" applyBorder="1"/>
    <xf numFmtId="165" fontId="4" fillId="3" borderId="3" xfId="0" applyNumberFormat="1" applyFont="1" applyFill="1" applyBorder="1" applyAlignment="1">
      <alignment horizontal="right"/>
    </xf>
    <xf numFmtId="0" fontId="6" fillId="3" borderId="0" xfId="0" applyFont="1" applyFill="1"/>
    <xf numFmtId="164" fontId="6" fillId="3" borderId="0" xfId="1" applyNumberFormat="1" applyFont="1" applyFill="1" applyBorder="1" applyAlignment="1">
      <alignment horizontal="right"/>
    </xf>
    <xf numFmtId="14" fontId="2" fillId="2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'Simple P&amp;L - yearly'!$B$9</c:f>
              <c:strCache>
                <c:ptCount val="1"/>
                <c:pt idx="0">
                  <c:v>Total revenues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'Simple P&amp;L - yearly'!$C$4:$G$4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'Simple P&amp;L - yearly'!$C$9:$G$9</c:f>
              <c:numCache>
                <c:formatCode>_(* #,##0.0_);_(* \(#,##0.0\);_(* "-"?_);_(@_)</c:formatCode>
                <c:ptCount val="5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026-8D47-9E3A-12194B96B861}"/>
            </c:ext>
          </c:extLst>
        </c:ser>
        <c:ser>
          <c:idx val="5"/>
          <c:order val="1"/>
          <c:tx>
            <c:strRef>
              <c:f>'Simple P&amp;L - yearly'!$B$42</c:f>
              <c:strCache>
                <c:ptCount val="1"/>
                <c:pt idx="0">
                  <c:v>Net result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'Simple P&amp;L - yearly'!$C$4:$G$4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'Simple P&amp;L - yearly'!$C$42:$G$42</c:f>
              <c:numCache>
                <c:formatCode>_(* #,##0.0_);_(* \(#,##0.0\);_(* "-"?_);_(@_)</c:formatCode>
                <c:ptCount val="5"/>
                <c:pt idx="0">
                  <c:v>350</c:v>
                </c:pt>
                <c:pt idx="1">
                  <c:v>400</c:v>
                </c:pt>
                <c:pt idx="2">
                  <c:v>450</c:v>
                </c:pt>
                <c:pt idx="3">
                  <c:v>500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026-8D47-9E3A-12194B96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05839"/>
        <c:axId val="102091168"/>
      </c:barChart>
      <c:lineChart>
        <c:grouping val="standard"/>
        <c:varyColors val="0"/>
        <c:ser>
          <c:idx val="0"/>
          <c:order val="2"/>
          <c:tx>
            <c:strRef>
              <c:f>'Simple P&amp;L - yearly'!$B$43</c:f>
              <c:strCache>
                <c:ptCount val="1"/>
                <c:pt idx="0">
                  <c:v>Net result as % of total revenues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'Simple P&amp;L - yearly'!$C$4:$G$4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'Simple P&amp;L - yearly'!$C$43:$G$43</c:f>
              <c:numCache>
                <c:formatCode>0.0%</c:formatCode>
                <c:ptCount val="5"/>
                <c:pt idx="0">
                  <c:v>0.7</c:v>
                </c:pt>
                <c:pt idx="1">
                  <c:v>0.66666666666666663</c:v>
                </c:pt>
                <c:pt idx="2">
                  <c:v>0.6428571428571429</c:v>
                </c:pt>
                <c:pt idx="3">
                  <c:v>0.625</c:v>
                </c:pt>
                <c:pt idx="4">
                  <c:v>0.61111111111111116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026-8D47-9E3A-12194B96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775920"/>
        <c:axId val="553773744"/>
      </c:lineChart>
      <c:catAx>
        <c:axId val="18627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1168"/>
        <c:crosses val="autoZero"/>
        <c:auto val="1"/>
        <c:lblAlgn val="ctr"/>
        <c:lblOffset val="100"/>
        <c:noMultiLvlLbl val="0"/>
      </c:catAx>
      <c:valAx>
        <c:axId val="1020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05839"/>
        <c:crosses val="autoZero"/>
        <c:crossBetween val="between"/>
      </c:valAx>
      <c:valAx>
        <c:axId val="553773744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75920"/>
        <c:crosses val="max"/>
        <c:crossBetween val="between"/>
      </c:valAx>
      <c:catAx>
        <c:axId val="55377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77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12319</xdr:colOff>
      <xdr:row>2</xdr:row>
      <xdr:rowOff>220639</xdr:rowOff>
    </xdr:from>
    <xdr:to>
      <xdr:col>15</xdr:col>
      <xdr:colOff>341194</xdr:colOff>
      <xdr:row>26</xdr:row>
      <xdr:rowOff>151641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46170-8AB1-F0AA-61F5-48E5F361E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_2">
      <a:dk1>
        <a:srgbClr val="061F32"/>
      </a:dk1>
      <a:lt1>
        <a:srgbClr val="FFFFFF"/>
      </a:lt1>
      <a:dk2>
        <a:srgbClr val="44546A"/>
      </a:dk2>
      <a:lt2>
        <a:srgbClr val="E7E6E6"/>
      </a:lt2>
      <a:accent1>
        <a:srgbClr val="061F32"/>
      </a:accent1>
      <a:accent2>
        <a:srgbClr val="22A3DF"/>
      </a:accent2>
      <a:accent3>
        <a:srgbClr val="2222F6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deworks" id="{8DFC3B37-E359-CA49-A1F7-6E72575D4B5B}" vid="{B47373BC-2D7A-6C4B-8BE3-24FFBFBFCD5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05AE-4014-EE42-B42F-3E7FFEDD6C5C}">
  <dimension ref="B2:G44"/>
  <sheetViews>
    <sheetView tabSelected="1" zoomScaleNormal="100" workbookViewId="0">
      <selection activeCell="B57" sqref="B57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7" ht="18" x14ac:dyDescent="0.2">
      <c r="B2" s="5" t="s">
        <v>15</v>
      </c>
    </row>
    <row r="3" spans="2:7" ht="18" x14ac:dyDescent="0.2">
      <c r="B3" s="5"/>
    </row>
    <row r="4" spans="2:7" x14ac:dyDescent="0.15">
      <c r="B4" s="2" t="s">
        <v>22</v>
      </c>
      <c r="C4" s="1">
        <v>2019</v>
      </c>
      <c r="D4" s="1">
        <f>C4+1</f>
        <v>2020</v>
      </c>
      <c r="E4" s="1">
        <f t="shared" ref="E4" si="0">D4+1</f>
        <v>2021</v>
      </c>
      <c r="F4" s="1">
        <f t="shared" ref="F4" si="1">E4+1</f>
        <v>2022</v>
      </c>
      <c r="G4" s="1">
        <f t="shared" ref="G4" si="2">F4+1</f>
        <v>2023</v>
      </c>
    </row>
    <row r="5" spans="2:7" x14ac:dyDescent="0.15">
      <c r="B5" s="10"/>
      <c r="C5" s="11"/>
      <c r="D5" s="11"/>
      <c r="E5" s="11"/>
      <c r="F5" s="11"/>
      <c r="G5" s="11"/>
    </row>
    <row r="6" spans="2:7" x14ac:dyDescent="0.15">
      <c r="B6" s="3" t="s">
        <v>6</v>
      </c>
      <c r="C6" s="18">
        <v>500</v>
      </c>
      <c r="D6" s="18">
        <v>600</v>
      </c>
      <c r="E6" s="18">
        <v>700</v>
      </c>
      <c r="F6" s="18">
        <v>800</v>
      </c>
      <c r="G6" s="18">
        <v>900</v>
      </c>
    </row>
    <row r="7" spans="2:7" s="7" customFormat="1" ht="11" x14ac:dyDescent="0.15">
      <c r="B7" s="12" t="s">
        <v>41</v>
      </c>
      <c r="C7" s="13"/>
      <c r="D7" s="13">
        <f>D6/C6-1</f>
        <v>0.19999999999999996</v>
      </c>
      <c r="E7" s="13">
        <f t="shared" ref="E7:G7" si="3">E6/D6-1</f>
        <v>0.16666666666666674</v>
      </c>
      <c r="F7" s="13">
        <f t="shared" si="3"/>
        <v>0.14285714285714279</v>
      </c>
      <c r="G7" s="13">
        <f t="shared" si="3"/>
        <v>0.125</v>
      </c>
    </row>
    <row r="8" spans="2:7" x14ac:dyDescent="0.15">
      <c r="B8" s="14" t="s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</row>
    <row r="9" spans="2:7" s="6" customFormat="1" x14ac:dyDescent="0.15">
      <c r="B9" s="6" t="s">
        <v>20</v>
      </c>
      <c r="C9" s="20">
        <f>SUM(C8,C6)</f>
        <v>500</v>
      </c>
      <c r="D9" s="20">
        <f>SUM(D8,D6)</f>
        <v>600</v>
      </c>
      <c r="E9" s="20">
        <f>SUM(E8,E6)</f>
        <v>700</v>
      </c>
      <c r="F9" s="20">
        <f>SUM(F8,F6)</f>
        <v>800</v>
      </c>
      <c r="G9" s="20">
        <f>SUM(G8,G6)</f>
        <v>900</v>
      </c>
    </row>
    <row r="10" spans="2:7" s="6" customFormat="1" x14ac:dyDescent="0.15">
      <c r="C10" s="20"/>
      <c r="D10" s="20"/>
      <c r="E10" s="20"/>
      <c r="F10" s="20"/>
      <c r="G10" s="20"/>
    </row>
    <row r="11" spans="2:7" x14ac:dyDescent="0.15">
      <c r="B11" s="3" t="s">
        <v>17</v>
      </c>
      <c r="C11" s="18">
        <v>-50</v>
      </c>
      <c r="D11" s="18">
        <v>-100</v>
      </c>
      <c r="E11" s="18">
        <v>-150</v>
      </c>
      <c r="F11" s="18">
        <v>-200</v>
      </c>
      <c r="G11" s="18">
        <v>-250</v>
      </c>
    </row>
    <row r="12" spans="2:7" s="9" customFormat="1" ht="11" x14ac:dyDescent="0.15">
      <c r="B12" s="15" t="s">
        <v>7</v>
      </c>
      <c r="C12" s="13">
        <f>C11/C$9</f>
        <v>-0.1</v>
      </c>
      <c r="D12" s="13">
        <f t="shared" ref="D12:G12" si="4">D11/D$9</f>
        <v>-0.16666666666666666</v>
      </c>
      <c r="E12" s="13">
        <f t="shared" si="4"/>
        <v>-0.21428571428571427</v>
      </c>
      <c r="F12" s="13">
        <f t="shared" si="4"/>
        <v>-0.25</v>
      </c>
      <c r="G12" s="13">
        <f t="shared" si="4"/>
        <v>-0.27777777777777779</v>
      </c>
    </row>
    <row r="13" spans="2:7" s="6" customFormat="1" x14ac:dyDescent="0.15">
      <c r="B13" s="16" t="s">
        <v>18</v>
      </c>
      <c r="C13" s="21">
        <f>C9+C11</f>
        <v>450</v>
      </c>
      <c r="D13" s="21">
        <f t="shared" ref="D13:G13" si="5">D9+D11</f>
        <v>500</v>
      </c>
      <c r="E13" s="21">
        <f t="shared" si="5"/>
        <v>550</v>
      </c>
      <c r="F13" s="21">
        <f t="shared" si="5"/>
        <v>600</v>
      </c>
      <c r="G13" s="21">
        <f t="shared" si="5"/>
        <v>650</v>
      </c>
    </row>
    <row r="14" spans="2:7" s="7" customFormat="1" ht="11" x14ac:dyDescent="0.15">
      <c r="B14" s="15" t="s">
        <v>23</v>
      </c>
      <c r="C14" s="13">
        <f t="shared" ref="C14:G14" si="6">C13/C$9</f>
        <v>0.9</v>
      </c>
      <c r="D14" s="13">
        <f t="shared" si="6"/>
        <v>0.83333333333333337</v>
      </c>
      <c r="E14" s="13">
        <f t="shared" si="6"/>
        <v>0.7857142857142857</v>
      </c>
      <c r="F14" s="13">
        <f t="shared" si="6"/>
        <v>0.75</v>
      </c>
      <c r="G14" s="13">
        <f t="shared" si="6"/>
        <v>0.72222222222222221</v>
      </c>
    </row>
    <row r="15" spans="2:7" s="7" customFormat="1" ht="11" x14ac:dyDescent="0.15">
      <c r="B15" s="17" t="s">
        <v>19</v>
      </c>
      <c r="C15" s="13"/>
      <c r="D15" s="13">
        <f>D13/C13-1</f>
        <v>0.11111111111111116</v>
      </c>
      <c r="E15" s="13">
        <f>E13/D13-1</f>
        <v>0.10000000000000009</v>
      </c>
      <c r="F15" s="13">
        <f>F13/E13-1</f>
        <v>9.0909090909090828E-2</v>
      </c>
      <c r="G15" s="13">
        <f>G13/F13-1</f>
        <v>8.3333333333333259E-2</v>
      </c>
    </row>
    <row r="16" spans="2:7" s="7" customFormat="1" ht="11" x14ac:dyDescent="0.15">
      <c r="C16" s="22"/>
      <c r="D16" s="22"/>
      <c r="E16" s="22"/>
      <c r="F16" s="22"/>
      <c r="G16" s="22"/>
    </row>
    <row r="17" spans="2:7" x14ac:dyDescent="0.15">
      <c r="B17" s="3" t="s">
        <v>1</v>
      </c>
      <c r="C17" s="18">
        <v>-20</v>
      </c>
      <c r="D17" s="18">
        <v>-20</v>
      </c>
      <c r="E17" s="18">
        <v>-20</v>
      </c>
      <c r="F17" s="18">
        <v>-20</v>
      </c>
      <c r="G17" s="18">
        <v>-20</v>
      </c>
    </row>
    <row r="18" spans="2:7" s="8" customFormat="1" ht="11" x14ac:dyDescent="0.15">
      <c r="B18" s="17" t="s">
        <v>7</v>
      </c>
      <c r="C18" s="13">
        <f t="shared" ref="C18:G18" si="7">C17/C$9</f>
        <v>-0.04</v>
      </c>
      <c r="D18" s="13">
        <f t="shared" si="7"/>
        <v>-3.3333333333333333E-2</v>
      </c>
      <c r="E18" s="13">
        <f t="shared" si="7"/>
        <v>-2.8571428571428571E-2</v>
      </c>
      <c r="F18" s="13">
        <f t="shared" si="7"/>
        <v>-2.5000000000000001E-2</v>
      </c>
      <c r="G18" s="13">
        <f t="shared" si="7"/>
        <v>-2.2222222222222223E-2</v>
      </c>
    </row>
    <row r="19" spans="2:7" x14ac:dyDescent="0.15">
      <c r="B19" s="3" t="s">
        <v>16</v>
      </c>
      <c r="C19" s="18">
        <v>-20</v>
      </c>
      <c r="D19" s="18">
        <v>-20</v>
      </c>
      <c r="E19" s="18">
        <v>-20</v>
      </c>
      <c r="F19" s="18">
        <v>-20</v>
      </c>
      <c r="G19" s="18">
        <v>-20</v>
      </c>
    </row>
    <row r="20" spans="2:7" s="7" customFormat="1" ht="11" x14ac:dyDescent="0.15">
      <c r="B20" s="17" t="s">
        <v>7</v>
      </c>
      <c r="C20" s="13">
        <f t="shared" ref="C20:G20" si="8">C19/C$9</f>
        <v>-0.04</v>
      </c>
      <c r="D20" s="13">
        <f t="shared" si="8"/>
        <v>-3.3333333333333333E-2</v>
      </c>
      <c r="E20" s="13">
        <f t="shared" si="8"/>
        <v>-2.8571428571428571E-2</v>
      </c>
      <c r="F20" s="13">
        <f t="shared" si="8"/>
        <v>-2.5000000000000001E-2</v>
      </c>
      <c r="G20" s="13">
        <f t="shared" si="8"/>
        <v>-2.2222222222222223E-2</v>
      </c>
    </row>
    <row r="21" spans="2:7" x14ac:dyDescent="0.15">
      <c r="B21" s="3" t="s">
        <v>8</v>
      </c>
      <c r="C21" s="18">
        <v>-5</v>
      </c>
      <c r="D21" s="18">
        <v>-5</v>
      </c>
      <c r="E21" s="18">
        <v>-5</v>
      </c>
      <c r="F21" s="18">
        <v>-5</v>
      </c>
      <c r="G21" s="18">
        <v>-5</v>
      </c>
    </row>
    <row r="22" spans="2:7" s="7" customFormat="1" ht="11" x14ac:dyDescent="0.15">
      <c r="B22" s="12" t="s">
        <v>7</v>
      </c>
      <c r="C22" s="13">
        <f t="shared" ref="C22:G22" si="9">C21/C$9</f>
        <v>-0.01</v>
      </c>
      <c r="D22" s="13">
        <f t="shared" si="9"/>
        <v>-8.3333333333333332E-3</v>
      </c>
      <c r="E22" s="13">
        <f t="shared" si="9"/>
        <v>-7.1428571428571426E-3</v>
      </c>
      <c r="F22" s="13">
        <f t="shared" si="9"/>
        <v>-6.2500000000000003E-3</v>
      </c>
      <c r="G22" s="13">
        <f t="shared" si="9"/>
        <v>-5.5555555555555558E-3</v>
      </c>
    </row>
    <row r="23" spans="2:7" s="6" customFormat="1" x14ac:dyDescent="0.15">
      <c r="B23" s="27" t="s">
        <v>2</v>
      </c>
      <c r="C23" s="28">
        <f>C13+C17+C19+C21</f>
        <v>405</v>
      </c>
      <c r="D23" s="28">
        <f t="shared" ref="D23:G23" si="10">D13+D17+D19+D21</f>
        <v>455</v>
      </c>
      <c r="E23" s="28">
        <f t="shared" si="10"/>
        <v>505</v>
      </c>
      <c r="F23" s="28">
        <f t="shared" si="10"/>
        <v>555</v>
      </c>
      <c r="G23" s="28">
        <f t="shared" si="10"/>
        <v>605</v>
      </c>
    </row>
    <row r="24" spans="2:7" s="7" customFormat="1" ht="11" x14ac:dyDescent="0.15">
      <c r="B24" s="12" t="s">
        <v>24</v>
      </c>
      <c r="C24" s="13">
        <f t="shared" ref="C24:G24" si="11">C23/C$9</f>
        <v>0.81</v>
      </c>
      <c r="D24" s="13">
        <f t="shared" si="11"/>
        <v>0.7583333333333333</v>
      </c>
      <c r="E24" s="13">
        <f t="shared" si="11"/>
        <v>0.72142857142857142</v>
      </c>
      <c r="F24" s="13">
        <f t="shared" si="11"/>
        <v>0.69374999999999998</v>
      </c>
      <c r="G24" s="13">
        <f t="shared" si="11"/>
        <v>0.67222222222222228</v>
      </c>
    </row>
    <row r="25" spans="2:7" s="7" customFormat="1" ht="11" x14ac:dyDescent="0.15">
      <c r="B25" s="12" t="s">
        <v>3</v>
      </c>
      <c r="C25" s="13"/>
      <c r="D25" s="13">
        <f>D23/C23-1</f>
        <v>0.12345679012345689</v>
      </c>
      <c r="E25" s="13">
        <f t="shared" ref="E25:G25" si="12">E23/D23-1</f>
        <v>0.10989010989010994</v>
      </c>
      <c r="F25" s="13">
        <f t="shared" si="12"/>
        <v>9.9009900990099098E-2</v>
      </c>
      <c r="G25" s="13">
        <f t="shared" si="12"/>
        <v>9.0090090090090058E-2</v>
      </c>
    </row>
    <row r="26" spans="2:7" s="7" customFormat="1" ht="11" x14ac:dyDescent="0.15">
      <c r="C26" s="22"/>
      <c r="D26" s="22"/>
      <c r="E26" s="22"/>
      <c r="F26" s="22"/>
      <c r="G26" s="22"/>
    </row>
    <row r="27" spans="2:7" x14ac:dyDescent="0.15">
      <c r="B27" s="3" t="s">
        <v>9</v>
      </c>
      <c r="C27" s="18">
        <v>-10</v>
      </c>
      <c r="D27" s="18">
        <v>-10</v>
      </c>
      <c r="E27" s="18">
        <v>-10</v>
      </c>
      <c r="F27" s="18">
        <v>-10</v>
      </c>
      <c r="G27" s="18">
        <v>-10</v>
      </c>
    </row>
    <row r="28" spans="2:7" s="6" customFormat="1" x14ac:dyDescent="0.15">
      <c r="B28" s="16" t="s">
        <v>10</v>
      </c>
      <c r="C28" s="21">
        <f>C23+C27</f>
        <v>395</v>
      </c>
      <c r="D28" s="21">
        <f t="shared" ref="D28:G28" si="13">D23+D27</f>
        <v>445</v>
      </c>
      <c r="E28" s="21">
        <f t="shared" si="13"/>
        <v>495</v>
      </c>
      <c r="F28" s="21">
        <f t="shared" si="13"/>
        <v>545</v>
      </c>
      <c r="G28" s="21">
        <f t="shared" si="13"/>
        <v>595</v>
      </c>
    </row>
    <row r="29" spans="2:7" s="7" customFormat="1" ht="11" x14ac:dyDescent="0.15">
      <c r="B29" s="12" t="s">
        <v>25</v>
      </c>
      <c r="C29" s="13">
        <f t="shared" ref="C29:G29" si="14">C28/C$9</f>
        <v>0.79</v>
      </c>
      <c r="D29" s="13">
        <f t="shared" si="14"/>
        <v>0.7416666666666667</v>
      </c>
      <c r="E29" s="13">
        <f t="shared" si="14"/>
        <v>0.70714285714285718</v>
      </c>
      <c r="F29" s="13">
        <f t="shared" si="14"/>
        <v>0.68125000000000002</v>
      </c>
      <c r="G29" s="13">
        <f t="shared" si="14"/>
        <v>0.66111111111111109</v>
      </c>
    </row>
    <row r="30" spans="2:7" s="7" customFormat="1" ht="11" x14ac:dyDescent="0.15">
      <c r="B30" s="12" t="s">
        <v>11</v>
      </c>
      <c r="C30" s="13"/>
      <c r="D30" s="13">
        <f>D28/C28-1</f>
        <v>0.12658227848101267</v>
      </c>
      <c r="E30" s="13">
        <f t="shared" ref="E30:G30" si="15">E28/D28-1</f>
        <v>0.11235955056179781</v>
      </c>
      <c r="F30" s="13">
        <f t="shared" si="15"/>
        <v>0.10101010101010099</v>
      </c>
      <c r="G30" s="13">
        <f t="shared" si="15"/>
        <v>9.174311926605494E-2</v>
      </c>
    </row>
    <row r="31" spans="2:7" s="7" customFormat="1" ht="11" x14ac:dyDescent="0.15">
      <c r="C31" s="22"/>
      <c r="D31" s="22"/>
      <c r="E31" s="22"/>
      <c r="F31" s="22"/>
      <c r="G31" s="22"/>
    </row>
    <row r="32" spans="2:7" x14ac:dyDescent="0.15">
      <c r="B32" s="3" t="s">
        <v>5</v>
      </c>
      <c r="C32" s="18">
        <v>10</v>
      </c>
      <c r="D32" s="18">
        <v>10</v>
      </c>
      <c r="E32" s="18">
        <v>10</v>
      </c>
      <c r="F32" s="18">
        <v>10</v>
      </c>
      <c r="G32" s="18">
        <v>10</v>
      </c>
    </row>
    <row r="33" spans="2:7" s="8" customFormat="1" ht="11" x14ac:dyDescent="0.15">
      <c r="B33" s="12" t="s">
        <v>7</v>
      </c>
      <c r="C33" s="13">
        <f t="shared" ref="C33:G33" si="16">C32/C$9</f>
        <v>0.02</v>
      </c>
      <c r="D33" s="13">
        <f t="shared" si="16"/>
        <v>1.6666666666666666E-2</v>
      </c>
      <c r="E33" s="13">
        <f t="shared" si="16"/>
        <v>1.4285714285714285E-2</v>
      </c>
      <c r="F33" s="13">
        <f t="shared" si="16"/>
        <v>1.2500000000000001E-2</v>
      </c>
      <c r="G33" s="13">
        <f t="shared" si="16"/>
        <v>1.1111111111111112E-2</v>
      </c>
    </row>
    <row r="34" spans="2:7" x14ac:dyDescent="0.15">
      <c r="B34" s="3" t="s">
        <v>4</v>
      </c>
      <c r="C34" s="18">
        <v>-5</v>
      </c>
      <c r="D34" s="18">
        <v>-5</v>
      </c>
      <c r="E34" s="18">
        <v>-5</v>
      </c>
      <c r="F34" s="18">
        <v>-5</v>
      </c>
      <c r="G34" s="18">
        <v>-5</v>
      </c>
    </row>
    <row r="35" spans="2:7" s="7" customFormat="1" ht="11" x14ac:dyDescent="0.15">
      <c r="B35" s="12" t="s">
        <v>7</v>
      </c>
      <c r="C35" s="13">
        <f t="shared" ref="C35" si="17">C34/C$9</f>
        <v>-0.01</v>
      </c>
      <c r="D35" s="13">
        <f t="shared" ref="D35" si="18">D34/D$9</f>
        <v>-8.3333333333333332E-3</v>
      </c>
      <c r="E35" s="13">
        <f t="shared" ref="E35" si="19">E34/E$9</f>
        <v>-7.1428571428571426E-3</v>
      </c>
      <c r="F35" s="13">
        <f t="shared" ref="F35" si="20">F34/F$9</f>
        <v>-6.2500000000000003E-3</v>
      </c>
      <c r="G35" s="13">
        <f t="shared" ref="G35" si="21">G34/G$9</f>
        <v>-5.5555555555555558E-3</v>
      </c>
    </row>
    <row r="36" spans="2:7" s="6" customFormat="1" x14ac:dyDescent="0.15">
      <c r="B36" s="16" t="s">
        <v>12</v>
      </c>
      <c r="C36" s="21">
        <f>C28+C32+C34</f>
        <v>400</v>
      </c>
      <c r="D36" s="21">
        <f t="shared" ref="D36:G36" si="22">D28+D32+D34</f>
        <v>450</v>
      </c>
      <c r="E36" s="21">
        <f t="shared" si="22"/>
        <v>500</v>
      </c>
      <c r="F36" s="21">
        <f t="shared" si="22"/>
        <v>550</v>
      </c>
      <c r="G36" s="21">
        <f t="shared" si="22"/>
        <v>600</v>
      </c>
    </row>
    <row r="37" spans="2:7" s="6" customFormat="1" x14ac:dyDescent="0.15">
      <c r="B37" s="12" t="s">
        <v>26</v>
      </c>
      <c r="C37" s="13">
        <f t="shared" ref="C37" si="23">C36/C$9</f>
        <v>0.8</v>
      </c>
      <c r="D37" s="13">
        <f t="shared" ref="D37" si="24">D36/D$9</f>
        <v>0.75</v>
      </c>
      <c r="E37" s="13">
        <f t="shared" ref="E37" si="25">E36/E$9</f>
        <v>0.7142857142857143</v>
      </c>
      <c r="F37" s="13">
        <f t="shared" ref="F37" si="26">F36/F$9</f>
        <v>0.6875</v>
      </c>
      <c r="G37" s="13">
        <f t="shared" ref="G37" si="27">G36/G$9</f>
        <v>0.66666666666666663</v>
      </c>
    </row>
    <row r="38" spans="2:7" x14ac:dyDescent="0.15">
      <c r="C38" s="18"/>
      <c r="D38" s="18"/>
      <c r="E38" s="18"/>
      <c r="F38" s="18"/>
      <c r="G38" s="18"/>
    </row>
    <row r="39" spans="2:7" x14ac:dyDescent="0.15">
      <c r="B39" s="3" t="s">
        <v>13</v>
      </c>
      <c r="C39" s="18">
        <v>-50</v>
      </c>
      <c r="D39" s="18">
        <v>-50</v>
      </c>
      <c r="E39" s="18">
        <v>-50</v>
      </c>
      <c r="F39" s="18">
        <v>-50</v>
      </c>
      <c r="G39" s="18">
        <v>-50</v>
      </c>
    </row>
    <row r="40" spans="2:7" s="8" customFormat="1" ht="11" x14ac:dyDescent="0.15">
      <c r="B40" s="12" t="s">
        <v>7</v>
      </c>
      <c r="C40" s="13">
        <f t="shared" ref="C40" si="28">C39/C$9</f>
        <v>-0.1</v>
      </c>
      <c r="D40" s="13">
        <f t="shared" ref="D40" si="29">D39/D$9</f>
        <v>-8.3333333333333329E-2</v>
      </c>
      <c r="E40" s="13">
        <f t="shared" ref="E40" si="30">E39/E$9</f>
        <v>-7.1428571428571425E-2</v>
      </c>
      <c r="F40" s="13">
        <f t="shared" ref="F40" si="31">F39/F$9</f>
        <v>-6.25E-2</v>
      </c>
      <c r="G40" s="13">
        <f t="shared" ref="G40" si="32">G39/G$9</f>
        <v>-5.5555555555555552E-2</v>
      </c>
    </row>
    <row r="41" spans="2:7" s="8" customFormat="1" ht="11" x14ac:dyDescent="0.15">
      <c r="B41" s="12" t="s">
        <v>21</v>
      </c>
      <c r="C41" s="13">
        <f>-C39/C36</f>
        <v>0.125</v>
      </c>
      <c r="D41" s="13">
        <f t="shared" ref="D41:G41" si="33">-D39/D36</f>
        <v>0.1111111111111111</v>
      </c>
      <c r="E41" s="13">
        <f t="shared" si="33"/>
        <v>0.1</v>
      </c>
      <c r="F41" s="13">
        <f t="shared" si="33"/>
        <v>9.0909090909090912E-2</v>
      </c>
      <c r="G41" s="13">
        <f t="shared" si="33"/>
        <v>8.3333333333333329E-2</v>
      </c>
    </row>
    <row r="42" spans="2:7" s="6" customFormat="1" x14ac:dyDescent="0.15">
      <c r="B42" s="23" t="s">
        <v>14</v>
      </c>
      <c r="C42" s="24">
        <f>C36+C39</f>
        <v>350</v>
      </c>
      <c r="D42" s="24">
        <f t="shared" ref="D42:G42" si="34">D36+D39</f>
        <v>400</v>
      </c>
      <c r="E42" s="24">
        <f t="shared" si="34"/>
        <v>450</v>
      </c>
      <c r="F42" s="24">
        <f t="shared" si="34"/>
        <v>500</v>
      </c>
      <c r="G42" s="24">
        <f t="shared" si="34"/>
        <v>550</v>
      </c>
    </row>
    <row r="43" spans="2:7" s="6" customFormat="1" x14ac:dyDescent="0.15">
      <c r="B43" s="29" t="s">
        <v>42</v>
      </c>
      <c r="C43" s="30">
        <f>C42/C$9</f>
        <v>0.7</v>
      </c>
      <c r="D43" s="30">
        <f t="shared" ref="D43:G43" si="35">D42/D$9</f>
        <v>0.66666666666666663</v>
      </c>
      <c r="E43" s="30">
        <f t="shared" si="35"/>
        <v>0.6428571428571429</v>
      </c>
      <c r="F43" s="30">
        <f t="shared" si="35"/>
        <v>0.625</v>
      </c>
      <c r="G43" s="30">
        <f t="shared" si="35"/>
        <v>0.61111111111111116</v>
      </c>
    </row>
    <row r="44" spans="2:7" s="7" customFormat="1" ht="11" x14ac:dyDescent="0.15">
      <c r="B44" s="25" t="s">
        <v>41</v>
      </c>
      <c r="C44" s="26"/>
      <c r="D44" s="26">
        <f>D42/C42-1</f>
        <v>0.14285714285714279</v>
      </c>
      <c r="E44" s="26">
        <f t="shared" ref="E44:G44" si="36">E42/D42-1</f>
        <v>0.125</v>
      </c>
      <c r="F44" s="26">
        <f t="shared" si="36"/>
        <v>0.11111111111111116</v>
      </c>
      <c r="G44" s="26">
        <f t="shared" si="36"/>
        <v>0.10000000000000009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F1BA-9094-A644-BD3B-B4B5FB6C4C8A}">
  <dimension ref="B2:N44"/>
  <sheetViews>
    <sheetView zoomScale="134" zoomScaleNormal="100" workbookViewId="0">
      <selection activeCell="F44" sqref="F44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14" ht="18" x14ac:dyDescent="0.2">
      <c r="B2" s="5" t="s">
        <v>15</v>
      </c>
    </row>
    <row r="3" spans="2:14" ht="18" x14ac:dyDescent="0.2">
      <c r="B3" s="5"/>
    </row>
    <row r="4" spans="2:14" x14ac:dyDescent="0.15">
      <c r="B4" s="2" t="s">
        <v>22</v>
      </c>
      <c r="C4" s="31" t="s">
        <v>28</v>
      </c>
      <c r="D4" s="31" t="s">
        <v>29</v>
      </c>
      <c r="E4" s="31" t="s">
        <v>30</v>
      </c>
      <c r="F4" s="31" t="s">
        <v>31</v>
      </c>
      <c r="G4" s="31" t="s">
        <v>32</v>
      </c>
      <c r="H4" s="31" t="s">
        <v>33</v>
      </c>
      <c r="I4" s="31" t="s">
        <v>34</v>
      </c>
      <c r="J4" s="31" t="s">
        <v>35</v>
      </c>
      <c r="K4" s="31" t="s">
        <v>36</v>
      </c>
      <c r="L4" s="31" t="s">
        <v>37</v>
      </c>
      <c r="M4" s="31" t="s">
        <v>38</v>
      </c>
      <c r="N4" s="31" t="s">
        <v>39</v>
      </c>
    </row>
    <row r="5" spans="2:14" x14ac:dyDescent="0.15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14" x14ac:dyDescent="0.15">
      <c r="B6" s="3" t="s">
        <v>6</v>
      </c>
      <c r="C6" s="18">
        <v>500</v>
      </c>
      <c r="D6" s="18">
        <v>500</v>
      </c>
      <c r="E6" s="18">
        <v>500</v>
      </c>
      <c r="F6" s="18">
        <v>500</v>
      </c>
      <c r="G6" s="18">
        <v>500</v>
      </c>
      <c r="H6" s="18">
        <v>500</v>
      </c>
      <c r="I6" s="18">
        <v>500</v>
      </c>
      <c r="J6" s="18">
        <v>500</v>
      </c>
      <c r="K6" s="18">
        <v>500</v>
      </c>
      <c r="L6" s="18">
        <v>500</v>
      </c>
      <c r="M6" s="18">
        <v>500</v>
      </c>
      <c r="N6" s="18">
        <v>500</v>
      </c>
    </row>
    <row r="7" spans="2:14" s="7" customFormat="1" ht="11" x14ac:dyDescent="0.15">
      <c r="B7" s="12" t="s">
        <v>40</v>
      </c>
      <c r="C7" s="13"/>
      <c r="D7" s="13">
        <f>D6/C6-1</f>
        <v>0</v>
      </c>
      <c r="E7" s="13">
        <f t="shared" ref="E7:G7" si="0">E6/D6-1</f>
        <v>0</v>
      </c>
      <c r="F7" s="13">
        <f t="shared" si="0"/>
        <v>0</v>
      </c>
      <c r="G7" s="13">
        <f t="shared" si="0"/>
        <v>0</v>
      </c>
      <c r="H7" s="13">
        <f t="shared" ref="H7" si="1">H6/G6-1</f>
        <v>0</v>
      </c>
      <c r="I7" s="13">
        <f t="shared" ref="I7" si="2">I6/H6-1</f>
        <v>0</v>
      </c>
      <c r="J7" s="13">
        <f t="shared" ref="J7" si="3">J6/I6-1</f>
        <v>0</v>
      </c>
      <c r="K7" s="13">
        <f t="shared" ref="K7" si="4">K6/J6-1</f>
        <v>0</v>
      </c>
      <c r="L7" s="13">
        <f t="shared" ref="L7" si="5">L6/K6-1</f>
        <v>0</v>
      </c>
      <c r="M7" s="13">
        <f t="shared" ref="M7" si="6">M6/L6-1</f>
        <v>0</v>
      </c>
      <c r="N7" s="13">
        <f t="shared" ref="N7" si="7">N6/M6-1</f>
        <v>0</v>
      </c>
    </row>
    <row r="8" spans="2:14" x14ac:dyDescent="0.15">
      <c r="B8" s="14" t="s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</row>
    <row r="9" spans="2:14" s="6" customFormat="1" x14ac:dyDescent="0.15">
      <c r="B9" s="6" t="s">
        <v>20</v>
      </c>
      <c r="C9" s="20">
        <f>SUM(C8,C6)</f>
        <v>500</v>
      </c>
      <c r="D9" s="20">
        <f>SUM(D8,D6)</f>
        <v>500</v>
      </c>
      <c r="E9" s="20">
        <f>SUM(E8,E6)</f>
        <v>500</v>
      </c>
      <c r="F9" s="20">
        <f>SUM(F8,F6)</f>
        <v>500</v>
      </c>
      <c r="G9" s="20">
        <f>SUM(G8,G6)</f>
        <v>500</v>
      </c>
      <c r="H9" s="20">
        <f t="shared" ref="H9:N9" si="8">SUM(H8,H6)</f>
        <v>500</v>
      </c>
      <c r="I9" s="20">
        <f t="shared" si="8"/>
        <v>500</v>
      </c>
      <c r="J9" s="20">
        <f t="shared" si="8"/>
        <v>500</v>
      </c>
      <c r="K9" s="20">
        <f t="shared" si="8"/>
        <v>500</v>
      </c>
      <c r="L9" s="20">
        <f t="shared" si="8"/>
        <v>500</v>
      </c>
      <c r="M9" s="20">
        <f t="shared" si="8"/>
        <v>500</v>
      </c>
      <c r="N9" s="20">
        <f t="shared" si="8"/>
        <v>500</v>
      </c>
    </row>
    <row r="10" spans="2:14" s="6" customFormat="1" x14ac:dyDescent="0.15"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2:14" x14ac:dyDescent="0.15">
      <c r="B11" s="3" t="s">
        <v>17</v>
      </c>
      <c r="C11" s="18">
        <v>-50</v>
      </c>
      <c r="D11" s="18">
        <v>-50</v>
      </c>
      <c r="E11" s="18">
        <v>-50</v>
      </c>
      <c r="F11" s="18">
        <v>-50</v>
      </c>
      <c r="G11" s="18">
        <v>-50</v>
      </c>
      <c r="H11" s="18">
        <v>-50</v>
      </c>
      <c r="I11" s="18">
        <v>-50</v>
      </c>
      <c r="J11" s="18">
        <v>-50</v>
      </c>
      <c r="K11" s="18">
        <v>-50</v>
      </c>
      <c r="L11" s="18">
        <v>-50</v>
      </c>
      <c r="M11" s="18">
        <v>-50</v>
      </c>
      <c r="N11" s="18">
        <v>-50</v>
      </c>
    </row>
    <row r="12" spans="2:14" s="9" customFormat="1" ht="11" x14ac:dyDescent="0.15">
      <c r="B12" s="15" t="s">
        <v>7</v>
      </c>
      <c r="C12" s="13">
        <f>C11/C$9</f>
        <v>-0.1</v>
      </c>
      <c r="D12" s="13">
        <f t="shared" ref="D12:G12" si="9">D11/D$9</f>
        <v>-0.1</v>
      </c>
      <c r="E12" s="13">
        <f t="shared" si="9"/>
        <v>-0.1</v>
      </c>
      <c r="F12" s="13">
        <f t="shared" si="9"/>
        <v>-0.1</v>
      </c>
      <c r="G12" s="13">
        <f t="shared" si="9"/>
        <v>-0.1</v>
      </c>
      <c r="H12" s="13">
        <f t="shared" ref="H12" si="10">H11/H$9</f>
        <v>-0.1</v>
      </c>
      <c r="I12" s="13">
        <f t="shared" ref="I12" si="11">I11/I$9</f>
        <v>-0.1</v>
      </c>
      <c r="J12" s="13">
        <f t="shared" ref="J12" si="12">J11/J$9</f>
        <v>-0.1</v>
      </c>
      <c r="K12" s="13">
        <f t="shared" ref="K12" si="13">K11/K$9</f>
        <v>-0.1</v>
      </c>
      <c r="L12" s="13">
        <f t="shared" ref="L12" si="14">L11/L$9</f>
        <v>-0.1</v>
      </c>
      <c r="M12" s="13">
        <f t="shared" ref="M12" si="15">M11/M$9</f>
        <v>-0.1</v>
      </c>
      <c r="N12" s="13">
        <f t="shared" ref="N12" si="16">N11/N$9</f>
        <v>-0.1</v>
      </c>
    </row>
    <row r="13" spans="2:14" s="6" customFormat="1" x14ac:dyDescent="0.15">
      <c r="B13" s="16" t="s">
        <v>18</v>
      </c>
      <c r="C13" s="21">
        <f>C9+C11</f>
        <v>450</v>
      </c>
      <c r="D13" s="21">
        <f t="shared" ref="D13:G13" si="17">D9+D11</f>
        <v>450</v>
      </c>
      <c r="E13" s="21">
        <f t="shared" si="17"/>
        <v>450</v>
      </c>
      <c r="F13" s="21">
        <f t="shared" si="17"/>
        <v>450</v>
      </c>
      <c r="G13" s="21">
        <f t="shared" si="17"/>
        <v>450</v>
      </c>
      <c r="H13" s="21">
        <f t="shared" ref="H13:N13" si="18">H9+H11</f>
        <v>450</v>
      </c>
      <c r="I13" s="21">
        <f t="shared" si="18"/>
        <v>450</v>
      </c>
      <c r="J13" s="21">
        <f t="shared" si="18"/>
        <v>450</v>
      </c>
      <c r="K13" s="21">
        <f t="shared" si="18"/>
        <v>450</v>
      </c>
      <c r="L13" s="21">
        <f t="shared" si="18"/>
        <v>450</v>
      </c>
      <c r="M13" s="21">
        <f t="shared" si="18"/>
        <v>450</v>
      </c>
      <c r="N13" s="21">
        <f t="shared" si="18"/>
        <v>450</v>
      </c>
    </row>
    <row r="14" spans="2:14" s="7" customFormat="1" ht="11" x14ac:dyDescent="0.15">
      <c r="B14" s="15" t="s">
        <v>23</v>
      </c>
      <c r="C14" s="13">
        <f t="shared" ref="C14:G14" si="19">C13/C$9</f>
        <v>0.9</v>
      </c>
      <c r="D14" s="13">
        <f t="shared" si="19"/>
        <v>0.9</v>
      </c>
      <c r="E14" s="13">
        <f t="shared" si="19"/>
        <v>0.9</v>
      </c>
      <c r="F14" s="13">
        <f t="shared" si="19"/>
        <v>0.9</v>
      </c>
      <c r="G14" s="13">
        <f t="shared" si="19"/>
        <v>0.9</v>
      </c>
      <c r="H14" s="13">
        <f t="shared" ref="H14" si="20">H13/H$9</f>
        <v>0.9</v>
      </c>
      <c r="I14" s="13">
        <f t="shared" ref="I14" si="21">I13/I$9</f>
        <v>0.9</v>
      </c>
      <c r="J14" s="13">
        <f t="shared" ref="J14" si="22">J13/J$9</f>
        <v>0.9</v>
      </c>
      <c r="K14" s="13">
        <f t="shared" ref="K14" si="23">K13/K$9</f>
        <v>0.9</v>
      </c>
      <c r="L14" s="13">
        <f t="shared" ref="L14" si="24">L13/L$9</f>
        <v>0.9</v>
      </c>
      <c r="M14" s="13">
        <f t="shared" ref="M14" si="25">M13/M$9</f>
        <v>0.9</v>
      </c>
      <c r="N14" s="13">
        <f t="shared" ref="N14" si="26">N13/N$9</f>
        <v>0.9</v>
      </c>
    </row>
    <row r="15" spans="2:14" s="7" customFormat="1" ht="11" x14ac:dyDescent="0.15">
      <c r="B15" s="17" t="s">
        <v>19</v>
      </c>
      <c r="C15" s="13"/>
      <c r="D15" s="13">
        <f>D13/C13-1</f>
        <v>0</v>
      </c>
      <c r="E15" s="13">
        <f>E13/D13-1</f>
        <v>0</v>
      </c>
      <c r="F15" s="13">
        <f>F13/E13-1</f>
        <v>0</v>
      </c>
      <c r="G15" s="13">
        <f>G13/F13-1</f>
        <v>0</v>
      </c>
      <c r="H15" s="13">
        <f t="shared" ref="H15:N15" si="27">H13/G13-1</f>
        <v>0</v>
      </c>
      <c r="I15" s="13">
        <f t="shared" si="27"/>
        <v>0</v>
      </c>
      <c r="J15" s="13">
        <f t="shared" si="27"/>
        <v>0</v>
      </c>
      <c r="K15" s="13">
        <f t="shared" si="27"/>
        <v>0</v>
      </c>
      <c r="L15" s="13">
        <f t="shared" si="27"/>
        <v>0</v>
      </c>
      <c r="M15" s="13">
        <f t="shared" si="27"/>
        <v>0</v>
      </c>
      <c r="N15" s="13">
        <f t="shared" si="27"/>
        <v>0</v>
      </c>
    </row>
    <row r="16" spans="2:14" s="7" customFormat="1" ht="11" x14ac:dyDescent="0.15"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2:14" x14ac:dyDescent="0.15">
      <c r="B17" s="3" t="s">
        <v>1</v>
      </c>
      <c r="C17" s="18">
        <v>-20</v>
      </c>
      <c r="D17" s="18">
        <v>-20</v>
      </c>
      <c r="E17" s="18">
        <v>-20</v>
      </c>
      <c r="F17" s="18">
        <v>-20</v>
      </c>
      <c r="G17" s="18">
        <v>-20</v>
      </c>
      <c r="H17" s="18">
        <v>-20</v>
      </c>
      <c r="I17" s="18">
        <v>-20</v>
      </c>
      <c r="J17" s="18">
        <v>-20</v>
      </c>
      <c r="K17" s="18">
        <v>-20</v>
      </c>
      <c r="L17" s="18">
        <v>-20</v>
      </c>
      <c r="M17" s="18">
        <v>-20</v>
      </c>
      <c r="N17" s="18">
        <v>-20</v>
      </c>
    </row>
    <row r="18" spans="2:14" s="8" customFormat="1" ht="11" x14ac:dyDescent="0.15">
      <c r="B18" s="17" t="s">
        <v>7</v>
      </c>
      <c r="C18" s="13">
        <f t="shared" ref="C18:G18" si="28">C17/C$9</f>
        <v>-0.04</v>
      </c>
      <c r="D18" s="13">
        <f t="shared" si="28"/>
        <v>-0.04</v>
      </c>
      <c r="E18" s="13">
        <f t="shared" si="28"/>
        <v>-0.04</v>
      </c>
      <c r="F18" s="13">
        <f t="shared" si="28"/>
        <v>-0.04</v>
      </c>
      <c r="G18" s="13">
        <f t="shared" si="28"/>
        <v>-0.04</v>
      </c>
      <c r="H18" s="13">
        <f t="shared" ref="H18" si="29">H17/H$9</f>
        <v>-0.04</v>
      </c>
      <c r="I18" s="13">
        <f t="shared" ref="I18" si="30">I17/I$9</f>
        <v>-0.04</v>
      </c>
      <c r="J18" s="13">
        <f t="shared" ref="J18" si="31">J17/J$9</f>
        <v>-0.04</v>
      </c>
      <c r="K18" s="13">
        <f t="shared" ref="K18" si="32">K17/K$9</f>
        <v>-0.04</v>
      </c>
      <c r="L18" s="13">
        <f t="shared" ref="L18" si="33">L17/L$9</f>
        <v>-0.04</v>
      </c>
      <c r="M18" s="13">
        <f t="shared" ref="M18" si="34">M17/M$9</f>
        <v>-0.04</v>
      </c>
      <c r="N18" s="13">
        <f t="shared" ref="N18" si="35">N17/N$9</f>
        <v>-0.04</v>
      </c>
    </row>
    <row r="19" spans="2:14" x14ac:dyDescent="0.15">
      <c r="B19" s="3" t="s">
        <v>16</v>
      </c>
      <c r="C19" s="18">
        <v>-20</v>
      </c>
      <c r="D19" s="18">
        <v>-20</v>
      </c>
      <c r="E19" s="18">
        <v>-20</v>
      </c>
      <c r="F19" s="18">
        <v>-20</v>
      </c>
      <c r="G19" s="18">
        <v>-20</v>
      </c>
      <c r="H19" s="18">
        <v>-20</v>
      </c>
      <c r="I19" s="18">
        <v>-20</v>
      </c>
      <c r="J19" s="18">
        <v>-20</v>
      </c>
      <c r="K19" s="18">
        <v>-20</v>
      </c>
      <c r="L19" s="18">
        <v>-20</v>
      </c>
      <c r="M19" s="18">
        <v>-20</v>
      </c>
      <c r="N19" s="18">
        <v>-20</v>
      </c>
    </row>
    <row r="20" spans="2:14" s="7" customFormat="1" ht="11" x14ac:dyDescent="0.15">
      <c r="B20" s="17" t="s">
        <v>7</v>
      </c>
      <c r="C20" s="13">
        <f t="shared" ref="C20:G20" si="36">C19/C$9</f>
        <v>-0.04</v>
      </c>
      <c r="D20" s="13">
        <f t="shared" si="36"/>
        <v>-0.04</v>
      </c>
      <c r="E20" s="13">
        <f t="shared" si="36"/>
        <v>-0.04</v>
      </c>
      <c r="F20" s="13">
        <f t="shared" si="36"/>
        <v>-0.04</v>
      </c>
      <c r="G20" s="13">
        <f t="shared" si="36"/>
        <v>-0.04</v>
      </c>
      <c r="H20" s="13">
        <f t="shared" ref="H20" si="37">H19/H$9</f>
        <v>-0.04</v>
      </c>
      <c r="I20" s="13">
        <f t="shared" ref="I20" si="38">I19/I$9</f>
        <v>-0.04</v>
      </c>
      <c r="J20" s="13">
        <f t="shared" ref="J20" si="39">J19/J$9</f>
        <v>-0.04</v>
      </c>
      <c r="K20" s="13">
        <f t="shared" ref="K20" si="40">K19/K$9</f>
        <v>-0.04</v>
      </c>
      <c r="L20" s="13">
        <f t="shared" ref="L20" si="41">L19/L$9</f>
        <v>-0.04</v>
      </c>
      <c r="M20" s="13">
        <f t="shared" ref="M20" si="42">M19/M$9</f>
        <v>-0.04</v>
      </c>
      <c r="N20" s="13">
        <f t="shared" ref="N20" si="43">N19/N$9</f>
        <v>-0.04</v>
      </c>
    </row>
    <row r="21" spans="2:14" x14ac:dyDescent="0.15">
      <c r="B21" s="3" t="s">
        <v>8</v>
      </c>
      <c r="C21" s="18">
        <v>-5</v>
      </c>
      <c r="D21" s="18">
        <v>-5</v>
      </c>
      <c r="E21" s="18">
        <v>-5</v>
      </c>
      <c r="F21" s="18">
        <v>-5</v>
      </c>
      <c r="G21" s="18">
        <v>-5</v>
      </c>
      <c r="H21" s="18">
        <v>-5</v>
      </c>
      <c r="I21" s="18">
        <v>-5</v>
      </c>
      <c r="J21" s="18">
        <v>-5</v>
      </c>
      <c r="K21" s="18">
        <v>-5</v>
      </c>
      <c r="L21" s="18">
        <v>-5</v>
      </c>
      <c r="M21" s="18">
        <v>-5</v>
      </c>
      <c r="N21" s="18">
        <v>-5</v>
      </c>
    </row>
    <row r="22" spans="2:14" s="7" customFormat="1" ht="11" x14ac:dyDescent="0.15">
      <c r="B22" s="12" t="s">
        <v>7</v>
      </c>
      <c r="C22" s="13">
        <f t="shared" ref="C22:G22" si="44">C21/C$9</f>
        <v>-0.01</v>
      </c>
      <c r="D22" s="13">
        <f t="shared" si="44"/>
        <v>-0.01</v>
      </c>
      <c r="E22" s="13">
        <f t="shared" si="44"/>
        <v>-0.01</v>
      </c>
      <c r="F22" s="13">
        <f t="shared" si="44"/>
        <v>-0.01</v>
      </c>
      <c r="G22" s="13">
        <f t="shared" si="44"/>
        <v>-0.01</v>
      </c>
      <c r="H22" s="13">
        <f t="shared" ref="H22" si="45">H21/H$9</f>
        <v>-0.01</v>
      </c>
      <c r="I22" s="13">
        <f t="shared" ref="I22" si="46">I21/I$9</f>
        <v>-0.01</v>
      </c>
      <c r="J22" s="13">
        <f t="shared" ref="J22" si="47">J21/J$9</f>
        <v>-0.01</v>
      </c>
      <c r="K22" s="13">
        <f t="shared" ref="K22" si="48">K21/K$9</f>
        <v>-0.01</v>
      </c>
      <c r="L22" s="13">
        <f t="shared" ref="L22" si="49">L21/L$9</f>
        <v>-0.01</v>
      </c>
      <c r="M22" s="13">
        <f t="shared" ref="M22" si="50">M21/M$9</f>
        <v>-0.01</v>
      </c>
      <c r="N22" s="13">
        <f t="shared" ref="N22" si="51">N21/N$9</f>
        <v>-0.01</v>
      </c>
    </row>
    <row r="23" spans="2:14" s="6" customFormat="1" x14ac:dyDescent="0.15">
      <c r="B23" s="27" t="s">
        <v>2</v>
      </c>
      <c r="C23" s="28">
        <f>C13+C17+C19+C21</f>
        <v>405</v>
      </c>
      <c r="D23" s="28">
        <f t="shared" ref="D23:G23" si="52">D13+D17+D19+D21</f>
        <v>405</v>
      </c>
      <c r="E23" s="28">
        <f t="shared" si="52"/>
        <v>405</v>
      </c>
      <c r="F23" s="28">
        <f t="shared" si="52"/>
        <v>405</v>
      </c>
      <c r="G23" s="28">
        <f t="shared" si="52"/>
        <v>405</v>
      </c>
      <c r="H23" s="28">
        <f t="shared" ref="H23:N23" si="53">H13+H17+H19+H21</f>
        <v>405</v>
      </c>
      <c r="I23" s="28">
        <f t="shared" si="53"/>
        <v>405</v>
      </c>
      <c r="J23" s="28">
        <f t="shared" si="53"/>
        <v>405</v>
      </c>
      <c r="K23" s="28">
        <f t="shared" si="53"/>
        <v>405</v>
      </c>
      <c r="L23" s="28">
        <f t="shared" si="53"/>
        <v>405</v>
      </c>
      <c r="M23" s="28">
        <f t="shared" si="53"/>
        <v>405</v>
      </c>
      <c r="N23" s="28">
        <f t="shared" si="53"/>
        <v>405</v>
      </c>
    </row>
    <row r="24" spans="2:14" s="7" customFormat="1" ht="11" x14ac:dyDescent="0.15">
      <c r="B24" s="12" t="s">
        <v>24</v>
      </c>
      <c r="C24" s="13">
        <f t="shared" ref="C24:G24" si="54">C23/C$9</f>
        <v>0.81</v>
      </c>
      <c r="D24" s="13">
        <f t="shared" si="54"/>
        <v>0.81</v>
      </c>
      <c r="E24" s="13">
        <f t="shared" si="54"/>
        <v>0.81</v>
      </c>
      <c r="F24" s="13">
        <f t="shared" si="54"/>
        <v>0.81</v>
      </c>
      <c r="G24" s="13">
        <f t="shared" si="54"/>
        <v>0.81</v>
      </c>
      <c r="H24" s="13">
        <f t="shared" ref="H24" si="55">H23/H$9</f>
        <v>0.81</v>
      </c>
      <c r="I24" s="13">
        <f t="shared" ref="I24" si="56">I23/I$9</f>
        <v>0.81</v>
      </c>
      <c r="J24" s="13">
        <f t="shared" ref="J24" si="57">J23/J$9</f>
        <v>0.81</v>
      </c>
      <c r="K24" s="13">
        <f t="shared" ref="K24" si="58">K23/K$9</f>
        <v>0.81</v>
      </c>
      <c r="L24" s="13">
        <f t="shared" ref="L24" si="59">L23/L$9</f>
        <v>0.81</v>
      </c>
      <c r="M24" s="13">
        <f t="shared" ref="M24" si="60">M23/M$9</f>
        <v>0.81</v>
      </c>
      <c r="N24" s="13">
        <f t="shared" ref="N24" si="61">N23/N$9</f>
        <v>0.81</v>
      </c>
    </row>
    <row r="25" spans="2:14" s="7" customFormat="1" ht="11" x14ac:dyDescent="0.15">
      <c r="B25" s="12" t="s">
        <v>3</v>
      </c>
      <c r="C25" s="13"/>
      <c r="D25" s="13">
        <f>D23/C23-1</f>
        <v>0</v>
      </c>
      <c r="E25" s="13">
        <f t="shared" ref="E25:G25" si="62">E23/D23-1</f>
        <v>0</v>
      </c>
      <c r="F25" s="13">
        <f t="shared" si="62"/>
        <v>0</v>
      </c>
      <c r="G25" s="13">
        <f t="shared" si="62"/>
        <v>0</v>
      </c>
      <c r="H25" s="13">
        <f t="shared" ref="H25" si="63">H23/G23-1</f>
        <v>0</v>
      </c>
      <c r="I25" s="13">
        <f t="shared" ref="I25" si="64">I23/H23-1</f>
        <v>0</v>
      </c>
      <c r="J25" s="13">
        <f t="shared" ref="J25" si="65">J23/I23-1</f>
        <v>0</v>
      </c>
      <c r="K25" s="13">
        <f t="shared" ref="K25" si="66">K23/J23-1</f>
        <v>0</v>
      </c>
      <c r="L25" s="13">
        <f t="shared" ref="L25" si="67">L23/K23-1</f>
        <v>0</v>
      </c>
      <c r="M25" s="13">
        <f t="shared" ref="M25" si="68">M23/L23-1</f>
        <v>0</v>
      </c>
      <c r="N25" s="13">
        <f t="shared" ref="N25" si="69">N23/M23-1</f>
        <v>0</v>
      </c>
    </row>
    <row r="26" spans="2:14" s="7" customFormat="1" ht="11" x14ac:dyDescent="0.15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2:14" x14ac:dyDescent="0.15">
      <c r="B27" s="3" t="s">
        <v>9</v>
      </c>
      <c r="C27" s="18">
        <v>-10</v>
      </c>
      <c r="D27" s="18">
        <v>-10</v>
      </c>
      <c r="E27" s="18">
        <v>-10</v>
      </c>
      <c r="F27" s="18">
        <v>-10</v>
      </c>
      <c r="G27" s="18">
        <v>-10</v>
      </c>
      <c r="H27" s="18">
        <v>-10</v>
      </c>
      <c r="I27" s="18">
        <v>-10</v>
      </c>
      <c r="J27" s="18">
        <v>-10</v>
      </c>
      <c r="K27" s="18">
        <v>-10</v>
      </c>
      <c r="L27" s="18">
        <v>-10</v>
      </c>
      <c r="M27" s="18">
        <v>-10</v>
      </c>
      <c r="N27" s="18">
        <v>-10</v>
      </c>
    </row>
    <row r="28" spans="2:14" s="6" customFormat="1" x14ac:dyDescent="0.15">
      <c r="B28" s="16" t="s">
        <v>10</v>
      </c>
      <c r="C28" s="21">
        <f>C23+C27</f>
        <v>395</v>
      </c>
      <c r="D28" s="21">
        <f t="shared" ref="D28:G28" si="70">D23+D27</f>
        <v>395</v>
      </c>
      <c r="E28" s="21">
        <f t="shared" si="70"/>
        <v>395</v>
      </c>
      <c r="F28" s="21">
        <f t="shared" si="70"/>
        <v>395</v>
      </c>
      <c r="G28" s="21">
        <f t="shared" si="70"/>
        <v>395</v>
      </c>
      <c r="H28" s="21">
        <f t="shared" ref="H28" si="71">H23+H27</f>
        <v>395</v>
      </c>
      <c r="I28" s="21">
        <f t="shared" ref="I28" si="72">I23+I27</f>
        <v>395</v>
      </c>
      <c r="J28" s="21">
        <f t="shared" ref="J28" si="73">J23+J27</f>
        <v>395</v>
      </c>
      <c r="K28" s="21">
        <f t="shared" ref="K28" si="74">K23+K27</f>
        <v>395</v>
      </c>
      <c r="L28" s="21">
        <f t="shared" ref="L28" si="75">L23+L27</f>
        <v>395</v>
      </c>
      <c r="M28" s="21">
        <f t="shared" ref="M28" si="76">M23+M27</f>
        <v>395</v>
      </c>
      <c r="N28" s="21">
        <f t="shared" ref="N28" si="77">N23+N27</f>
        <v>395</v>
      </c>
    </row>
    <row r="29" spans="2:14" s="7" customFormat="1" ht="11" x14ac:dyDescent="0.15">
      <c r="B29" s="12" t="s">
        <v>25</v>
      </c>
      <c r="C29" s="13">
        <f t="shared" ref="C29:G29" si="78">C28/C$9</f>
        <v>0.79</v>
      </c>
      <c r="D29" s="13">
        <f t="shared" si="78"/>
        <v>0.79</v>
      </c>
      <c r="E29" s="13">
        <f t="shared" si="78"/>
        <v>0.79</v>
      </c>
      <c r="F29" s="13">
        <f t="shared" si="78"/>
        <v>0.79</v>
      </c>
      <c r="G29" s="13">
        <f t="shared" si="78"/>
        <v>0.79</v>
      </c>
      <c r="H29" s="13">
        <f t="shared" ref="H29" si="79">H28/H$9</f>
        <v>0.79</v>
      </c>
      <c r="I29" s="13">
        <f t="shared" ref="I29" si="80">I28/I$9</f>
        <v>0.79</v>
      </c>
      <c r="J29" s="13">
        <f t="shared" ref="J29" si="81">J28/J$9</f>
        <v>0.79</v>
      </c>
      <c r="K29" s="13">
        <f t="shared" ref="K29" si="82">K28/K$9</f>
        <v>0.79</v>
      </c>
      <c r="L29" s="13">
        <f t="shared" ref="L29" si="83">L28/L$9</f>
        <v>0.79</v>
      </c>
      <c r="M29" s="13">
        <f t="shared" ref="M29" si="84">M28/M$9</f>
        <v>0.79</v>
      </c>
      <c r="N29" s="13">
        <f t="shared" ref="N29" si="85">N28/N$9</f>
        <v>0.79</v>
      </c>
    </row>
    <row r="30" spans="2:14" s="7" customFormat="1" ht="11" x14ac:dyDescent="0.15">
      <c r="B30" s="12" t="s">
        <v>11</v>
      </c>
      <c r="C30" s="13"/>
      <c r="D30" s="13">
        <f>D28/C28-1</f>
        <v>0</v>
      </c>
      <c r="E30" s="13">
        <f t="shared" ref="E30:G30" si="86">E28/D28-1</f>
        <v>0</v>
      </c>
      <c r="F30" s="13">
        <f t="shared" si="86"/>
        <v>0</v>
      </c>
      <c r="G30" s="13">
        <f t="shared" si="86"/>
        <v>0</v>
      </c>
      <c r="H30" s="13">
        <f t="shared" ref="H30" si="87">H28/G28-1</f>
        <v>0</v>
      </c>
      <c r="I30" s="13">
        <f t="shared" ref="I30" si="88">I28/H28-1</f>
        <v>0</v>
      </c>
      <c r="J30" s="13">
        <f t="shared" ref="J30" si="89">J28/I28-1</f>
        <v>0</v>
      </c>
      <c r="K30" s="13">
        <f t="shared" ref="K30" si="90">K28/J28-1</f>
        <v>0</v>
      </c>
      <c r="L30" s="13">
        <f t="shared" ref="L30" si="91">L28/K28-1</f>
        <v>0</v>
      </c>
      <c r="M30" s="13">
        <f t="shared" ref="M30" si="92">M28/L28-1</f>
        <v>0</v>
      </c>
      <c r="N30" s="13">
        <f t="shared" ref="N30" si="93">N28/M28-1</f>
        <v>0</v>
      </c>
    </row>
    <row r="31" spans="2:14" s="7" customFormat="1" ht="11" x14ac:dyDescent="0.15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x14ac:dyDescent="0.15">
      <c r="B32" s="3" t="s">
        <v>5</v>
      </c>
      <c r="C32" s="18">
        <v>10</v>
      </c>
      <c r="D32" s="18">
        <v>10</v>
      </c>
      <c r="E32" s="18">
        <v>10</v>
      </c>
      <c r="F32" s="18">
        <v>10</v>
      </c>
      <c r="G32" s="18">
        <v>10</v>
      </c>
      <c r="H32" s="18">
        <v>10</v>
      </c>
      <c r="I32" s="18">
        <v>10</v>
      </c>
      <c r="J32" s="18">
        <v>10</v>
      </c>
      <c r="K32" s="18">
        <v>10</v>
      </c>
      <c r="L32" s="18">
        <v>10</v>
      </c>
      <c r="M32" s="18">
        <v>10</v>
      </c>
      <c r="N32" s="18">
        <v>10</v>
      </c>
    </row>
    <row r="33" spans="2:14" s="8" customFormat="1" ht="11" x14ac:dyDescent="0.15">
      <c r="B33" s="12" t="s">
        <v>7</v>
      </c>
      <c r="C33" s="13">
        <f t="shared" ref="C33:G33" si="94">C32/C$9</f>
        <v>0.02</v>
      </c>
      <c r="D33" s="13">
        <f t="shared" si="94"/>
        <v>0.02</v>
      </c>
      <c r="E33" s="13">
        <f t="shared" si="94"/>
        <v>0.02</v>
      </c>
      <c r="F33" s="13">
        <f t="shared" si="94"/>
        <v>0.02</v>
      </c>
      <c r="G33" s="13">
        <f t="shared" si="94"/>
        <v>0.02</v>
      </c>
      <c r="H33" s="13">
        <f t="shared" ref="H33" si="95">H32/H$9</f>
        <v>0.02</v>
      </c>
      <c r="I33" s="13">
        <f t="shared" ref="I33" si="96">I32/I$9</f>
        <v>0.02</v>
      </c>
      <c r="J33" s="13">
        <f t="shared" ref="J33" si="97">J32/J$9</f>
        <v>0.02</v>
      </c>
      <c r="K33" s="13">
        <f t="shared" ref="K33" si="98">K32/K$9</f>
        <v>0.02</v>
      </c>
      <c r="L33" s="13">
        <f t="shared" ref="L33" si="99">L32/L$9</f>
        <v>0.02</v>
      </c>
      <c r="M33" s="13">
        <f t="shared" ref="M33" si="100">M32/M$9</f>
        <v>0.02</v>
      </c>
      <c r="N33" s="13">
        <f t="shared" ref="N33" si="101">N32/N$9</f>
        <v>0.02</v>
      </c>
    </row>
    <row r="34" spans="2:14" x14ac:dyDescent="0.15">
      <c r="B34" s="3" t="s">
        <v>4</v>
      </c>
      <c r="C34" s="18">
        <v>-5</v>
      </c>
      <c r="D34" s="18">
        <v>-5</v>
      </c>
      <c r="E34" s="18">
        <v>-5</v>
      </c>
      <c r="F34" s="18">
        <v>-5</v>
      </c>
      <c r="G34" s="18">
        <v>-5</v>
      </c>
      <c r="H34" s="18">
        <v>-5</v>
      </c>
      <c r="I34" s="18">
        <v>-5</v>
      </c>
      <c r="J34" s="18">
        <v>-5</v>
      </c>
      <c r="K34" s="18">
        <v>-5</v>
      </c>
      <c r="L34" s="18">
        <v>-5</v>
      </c>
      <c r="M34" s="18">
        <v>-5</v>
      </c>
      <c r="N34" s="18">
        <v>-5</v>
      </c>
    </row>
    <row r="35" spans="2:14" s="7" customFormat="1" ht="11" x14ac:dyDescent="0.15">
      <c r="B35" s="12" t="s">
        <v>7</v>
      </c>
      <c r="C35" s="13">
        <f t="shared" ref="C35:G35" si="102">C34/C$9</f>
        <v>-0.01</v>
      </c>
      <c r="D35" s="13">
        <f t="shared" si="102"/>
        <v>-0.01</v>
      </c>
      <c r="E35" s="13">
        <f t="shared" si="102"/>
        <v>-0.01</v>
      </c>
      <c r="F35" s="13">
        <f t="shared" si="102"/>
        <v>-0.01</v>
      </c>
      <c r="G35" s="13">
        <f t="shared" si="102"/>
        <v>-0.01</v>
      </c>
      <c r="H35" s="13">
        <f t="shared" ref="H35" si="103">H34/H$9</f>
        <v>-0.01</v>
      </c>
      <c r="I35" s="13">
        <f t="shared" ref="I35" si="104">I34/I$9</f>
        <v>-0.01</v>
      </c>
      <c r="J35" s="13">
        <f t="shared" ref="J35" si="105">J34/J$9</f>
        <v>-0.01</v>
      </c>
      <c r="K35" s="13">
        <f t="shared" ref="K35" si="106">K34/K$9</f>
        <v>-0.01</v>
      </c>
      <c r="L35" s="13">
        <f t="shared" ref="L35" si="107">L34/L$9</f>
        <v>-0.01</v>
      </c>
      <c r="M35" s="13">
        <f t="shared" ref="M35" si="108">M34/M$9</f>
        <v>-0.01</v>
      </c>
      <c r="N35" s="13">
        <f t="shared" ref="N35" si="109">N34/N$9</f>
        <v>-0.01</v>
      </c>
    </row>
    <row r="36" spans="2:14" s="6" customFormat="1" x14ac:dyDescent="0.15">
      <c r="B36" s="16" t="s">
        <v>12</v>
      </c>
      <c r="C36" s="21">
        <f>C28+C32+C34</f>
        <v>400</v>
      </c>
      <c r="D36" s="21">
        <f t="shared" ref="D36:G36" si="110">D28+D32+D34</f>
        <v>400</v>
      </c>
      <c r="E36" s="21">
        <f t="shared" si="110"/>
        <v>400</v>
      </c>
      <c r="F36" s="21">
        <f t="shared" si="110"/>
        <v>400</v>
      </c>
      <c r="G36" s="21">
        <f t="shared" si="110"/>
        <v>400</v>
      </c>
      <c r="H36" s="21">
        <f t="shared" ref="H36:N36" si="111">H28+H32+H34</f>
        <v>400</v>
      </c>
      <c r="I36" s="21">
        <f t="shared" si="111"/>
        <v>400</v>
      </c>
      <c r="J36" s="21">
        <f t="shared" si="111"/>
        <v>400</v>
      </c>
      <c r="K36" s="21">
        <f t="shared" si="111"/>
        <v>400</v>
      </c>
      <c r="L36" s="21">
        <f t="shared" si="111"/>
        <v>400</v>
      </c>
      <c r="M36" s="21">
        <f t="shared" si="111"/>
        <v>400</v>
      </c>
      <c r="N36" s="21">
        <f t="shared" si="111"/>
        <v>400</v>
      </c>
    </row>
    <row r="37" spans="2:14" s="6" customFormat="1" x14ac:dyDescent="0.15">
      <c r="B37" s="12" t="s">
        <v>26</v>
      </c>
      <c r="C37" s="13">
        <f t="shared" ref="C37:G37" si="112">C36/C$9</f>
        <v>0.8</v>
      </c>
      <c r="D37" s="13">
        <f t="shared" si="112"/>
        <v>0.8</v>
      </c>
      <c r="E37" s="13">
        <f t="shared" si="112"/>
        <v>0.8</v>
      </c>
      <c r="F37" s="13">
        <f t="shared" si="112"/>
        <v>0.8</v>
      </c>
      <c r="G37" s="13">
        <f t="shared" si="112"/>
        <v>0.8</v>
      </c>
      <c r="H37" s="13">
        <f t="shared" ref="H37" si="113">H36/H$9</f>
        <v>0.8</v>
      </c>
      <c r="I37" s="13">
        <f t="shared" ref="I37" si="114">I36/I$9</f>
        <v>0.8</v>
      </c>
      <c r="J37" s="13">
        <f t="shared" ref="J37" si="115">J36/J$9</f>
        <v>0.8</v>
      </c>
      <c r="K37" s="13">
        <f t="shared" ref="K37" si="116">K36/K$9</f>
        <v>0.8</v>
      </c>
      <c r="L37" s="13">
        <f t="shared" ref="L37" si="117">L36/L$9</f>
        <v>0.8</v>
      </c>
      <c r="M37" s="13">
        <f t="shared" ref="M37" si="118">M36/M$9</f>
        <v>0.8</v>
      </c>
      <c r="N37" s="13">
        <f t="shared" ref="N37" si="119">N36/N$9</f>
        <v>0.8</v>
      </c>
    </row>
    <row r="38" spans="2:14" x14ac:dyDescent="0.15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2:14" x14ac:dyDescent="0.15">
      <c r="B39" s="3" t="s">
        <v>13</v>
      </c>
      <c r="C39" s="18">
        <v>-50</v>
      </c>
      <c r="D39" s="18">
        <v>-50</v>
      </c>
      <c r="E39" s="18">
        <v>-50</v>
      </c>
      <c r="F39" s="18">
        <v>-50</v>
      </c>
      <c r="G39" s="18">
        <v>-50</v>
      </c>
      <c r="H39" s="18">
        <v>-50</v>
      </c>
      <c r="I39" s="18">
        <v>-50</v>
      </c>
      <c r="J39" s="18">
        <v>-50</v>
      </c>
      <c r="K39" s="18">
        <v>-50</v>
      </c>
      <c r="L39" s="18">
        <v>-50</v>
      </c>
      <c r="M39" s="18">
        <v>-50</v>
      </c>
      <c r="N39" s="18">
        <v>-50</v>
      </c>
    </row>
    <row r="40" spans="2:14" s="8" customFormat="1" ht="11" x14ac:dyDescent="0.15">
      <c r="B40" s="12" t="s">
        <v>7</v>
      </c>
      <c r="C40" s="13">
        <f t="shared" ref="C40:G40" si="120">C39/C$9</f>
        <v>-0.1</v>
      </c>
      <c r="D40" s="13">
        <f t="shared" si="120"/>
        <v>-0.1</v>
      </c>
      <c r="E40" s="13">
        <f t="shared" si="120"/>
        <v>-0.1</v>
      </c>
      <c r="F40" s="13">
        <f t="shared" si="120"/>
        <v>-0.1</v>
      </c>
      <c r="G40" s="13">
        <f t="shared" si="120"/>
        <v>-0.1</v>
      </c>
      <c r="H40" s="13">
        <f t="shared" ref="H40" si="121">H39/H$9</f>
        <v>-0.1</v>
      </c>
      <c r="I40" s="13">
        <f t="shared" ref="I40" si="122">I39/I$9</f>
        <v>-0.1</v>
      </c>
      <c r="J40" s="13">
        <f t="shared" ref="J40" si="123">J39/J$9</f>
        <v>-0.1</v>
      </c>
      <c r="K40" s="13">
        <f t="shared" ref="K40" si="124">K39/K$9</f>
        <v>-0.1</v>
      </c>
      <c r="L40" s="13">
        <f t="shared" ref="L40" si="125">L39/L$9</f>
        <v>-0.1</v>
      </c>
      <c r="M40" s="13">
        <f t="shared" ref="M40" si="126">M39/M$9</f>
        <v>-0.1</v>
      </c>
      <c r="N40" s="13">
        <f t="shared" ref="N40" si="127">N39/N$9</f>
        <v>-0.1</v>
      </c>
    </row>
    <row r="41" spans="2:14" s="8" customFormat="1" ht="11" x14ac:dyDescent="0.15">
      <c r="B41" s="12" t="s">
        <v>21</v>
      </c>
      <c r="C41" s="13">
        <f>-C39/C36</f>
        <v>0.125</v>
      </c>
      <c r="D41" s="13">
        <f t="shared" ref="D41:G41" si="128">-D39/D36</f>
        <v>0.125</v>
      </c>
      <c r="E41" s="13">
        <f t="shared" si="128"/>
        <v>0.125</v>
      </c>
      <c r="F41" s="13">
        <f t="shared" si="128"/>
        <v>0.125</v>
      </c>
      <c r="G41" s="13">
        <f t="shared" si="128"/>
        <v>0.125</v>
      </c>
      <c r="H41" s="13">
        <f t="shared" ref="H41:N41" si="129">-H39/H36</f>
        <v>0.125</v>
      </c>
      <c r="I41" s="13">
        <f t="shared" si="129"/>
        <v>0.125</v>
      </c>
      <c r="J41" s="13">
        <f t="shared" si="129"/>
        <v>0.125</v>
      </c>
      <c r="K41" s="13">
        <f t="shared" si="129"/>
        <v>0.125</v>
      </c>
      <c r="L41" s="13">
        <f t="shared" si="129"/>
        <v>0.125</v>
      </c>
      <c r="M41" s="13">
        <f t="shared" si="129"/>
        <v>0.125</v>
      </c>
      <c r="N41" s="13">
        <f t="shared" si="129"/>
        <v>0.125</v>
      </c>
    </row>
    <row r="42" spans="2:14" s="6" customFormat="1" x14ac:dyDescent="0.15">
      <c r="B42" s="23" t="s">
        <v>14</v>
      </c>
      <c r="C42" s="24">
        <f>C36+C39</f>
        <v>350</v>
      </c>
      <c r="D42" s="24">
        <f t="shared" ref="D42:G42" si="130">D36+D39</f>
        <v>350</v>
      </c>
      <c r="E42" s="24">
        <f t="shared" si="130"/>
        <v>350</v>
      </c>
      <c r="F42" s="24">
        <f t="shared" si="130"/>
        <v>350</v>
      </c>
      <c r="G42" s="24">
        <f t="shared" si="130"/>
        <v>350</v>
      </c>
      <c r="H42" s="24">
        <f t="shared" ref="H42:N42" si="131">H36+H39</f>
        <v>350</v>
      </c>
      <c r="I42" s="24">
        <f t="shared" si="131"/>
        <v>350</v>
      </c>
      <c r="J42" s="24">
        <f t="shared" si="131"/>
        <v>350</v>
      </c>
      <c r="K42" s="24">
        <f t="shared" si="131"/>
        <v>350</v>
      </c>
      <c r="L42" s="24">
        <f t="shared" si="131"/>
        <v>350</v>
      </c>
      <c r="M42" s="24">
        <f t="shared" si="131"/>
        <v>350</v>
      </c>
      <c r="N42" s="24">
        <f t="shared" si="131"/>
        <v>350</v>
      </c>
    </row>
    <row r="43" spans="2:14" s="6" customFormat="1" x14ac:dyDescent="0.15">
      <c r="B43" s="29" t="s">
        <v>27</v>
      </c>
      <c r="C43" s="30">
        <f>C42/C$9</f>
        <v>0.7</v>
      </c>
      <c r="D43" s="30">
        <f t="shared" ref="D43:G43" si="132">D42/D$9</f>
        <v>0.7</v>
      </c>
      <c r="E43" s="30">
        <f t="shared" si="132"/>
        <v>0.7</v>
      </c>
      <c r="F43" s="30">
        <f t="shared" si="132"/>
        <v>0.7</v>
      </c>
      <c r="G43" s="30">
        <f t="shared" si="132"/>
        <v>0.7</v>
      </c>
      <c r="H43" s="30">
        <f t="shared" ref="H43" si="133">H42/H$9</f>
        <v>0.7</v>
      </c>
      <c r="I43" s="30">
        <f t="shared" ref="I43" si="134">I42/I$9</f>
        <v>0.7</v>
      </c>
      <c r="J43" s="30">
        <f t="shared" ref="J43" si="135">J42/J$9</f>
        <v>0.7</v>
      </c>
      <c r="K43" s="30">
        <f t="shared" ref="K43" si="136">K42/K$9</f>
        <v>0.7</v>
      </c>
      <c r="L43" s="30">
        <f t="shared" ref="L43" si="137">L42/L$9</f>
        <v>0.7</v>
      </c>
      <c r="M43" s="30">
        <f t="shared" ref="M43" si="138">M42/M$9</f>
        <v>0.7</v>
      </c>
      <c r="N43" s="30">
        <f t="shared" ref="N43" si="139">N42/N$9</f>
        <v>0.7</v>
      </c>
    </row>
    <row r="44" spans="2:14" s="7" customFormat="1" ht="11" x14ac:dyDescent="0.15">
      <c r="B44" s="25" t="s">
        <v>40</v>
      </c>
      <c r="C44" s="26"/>
      <c r="D44" s="26">
        <f>D42/C42-1</f>
        <v>0</v>
      </c>
      <c r="E44" s="26">
        <f t="shared" ref="E44:G44" si="140">E42/D42-1</f>
        <v>0</v>
      </c>
      <c r="F44" s="26">
        <f t="shared" si="140"/>
        <v>0</v>
      </c>
      <c r="G44" s="26">
        <f t="shared" si="140"/>
        <v>0</v>
      </c>
      <c r="H44" s="26">
        <f t="shared" ref="H44" si="141">H42/G42-1</f>
        <v>0</v>
      </c>
      <c r="I44" s="26">
        <f t="shared" ref="I44" si="142">I42/H42-1</f>
        <v>0</v>
      </c>
      <c r="J44" s="26">
        <f t="shared" ref="J44" si="143">J42/I42-1</f>
        <v>0</v>
      </c>
      <c r="K44" s="26">
        <f t="shared" ref="K44" si="144">K42/J42-1</f>
        <v>0</v>
      </c>
      <c r="L44" s="26">
        <f t="shared" ref="L44" si="145">L42/K42-1</f>
        <v>0</v>
      </c>
      <c r="M44" s="26">
        <f t="shared" ref="M44" si="146">M42/L42-1</f>
        <v>0</v>
      </c>
      <c r="N44" s="26">
        <f t="shared" ref="N44" si="147">N42/M42-1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P&amp;L - yearly</vt:lpstr>
      <vt:lpstr>Simple P&amp;L - monthly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Due Diligence simple income statement</dc:title>
  <dc:subject>income statement</dc:subject>
  <dc:creator>Slideworks</dc:creator>
  <cp:keywords>due diligence, m&amp;a, consulting powerpoints, financial models</cp:keywords>
  <dc:description>Copyright of Slideworks.io. Any unauthorized distribution prohibited. See our full terms and conditions at https://slideworks.io/terms </dc:description>
  <cp:lastModifiedBy>Microsoft Office User</cp:lastModifiedBy>
  <dcterms:created xsi:type="dcterms:W3CDTF">2024-07-05T09:53:14Z</dcterms:created>
  <dcterms:modified xsi:type="dcterms:W3CDTF">2025-01-15T11:54:11Z</dcterms:modified>
  <cp:category>income statement</cp:category>
</cp:coreProperties>
</file>