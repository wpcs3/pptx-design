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7. Slideworks - Due diligence ONLINE/Final version for sale_JAN15/Excel template files/4. DCF model/"/>
    </mc:Choice>
  </mc:AlternateContent>
  <xr:revisionPtr revIDLastSave="0" documentId="13_ncr:1_{5CFB58E9-FA17-C846-884B-2E7E8E0DDD43}" xr6:coauthVersionLast="47" xr6:coauthVersionMax="47" xr10:uidLastSave="{00000000-0000-0000-0000-000000000000}"/>
  <bookViews>
    <workbookView xWindow="28800" yWindow="500" windowWidth="51200" windowHeight="28300" xr2:uid="{00000000-000D-0000-FFFF-FFFF00000000}"/>
  </bookViews>
  <sheets>
    <sheet name="DCF model" sheetId="11" r:id="rId1"/>
  </sheets>
  <definedNames>
    <definedName name="_xlchart.v1.0" hidden="1">'DCF model'!$J$40:$J$42</definedName>
    <definedName name="_xlchart.v1.1" hidden="1">'DCF model'!$L$40:$L$42</definedName>
    <definedName name="_xlchart.v1.2" hidden="1">'DCF model'!$J$40:$J$42</definedName>
    <definedName name="_xlchart.v1.3" hidden="1">'DCF model'!$L$40:$L$42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1" l="1"/>
  <c r="F34" i="11"/>
  <c r="H50" i="11"/>
  <c r="H42" i="11"/>
  <c r="H40" i="11"/>
  <c r="H43" i="11" s="1"/>
  <c r="D42" i="11"/>
  <c r="D32" i="11" l="1"/>
  <c r="E26" i="11" l="1"/>
  <c r="I28" i="11"/>
  <c r="H28" i="11"/>
  <c r="G28" i="11"/>
  <c r="F28" i="11"/>
  <c r="I26" i="11"/>
  <c r="I30" i="11" s="1"/>
  <c r="H49" i="11" s="1"/>
  <c r="H26" i="11"/>
  <c r="H30" i="11" s="1"/>
  <c r="F26" i="11"/>
  <c r="F30" i="11" s="1"/>
  <c r="E28" i="11"/>
  <c r="E21" i="11"/>
  <c r="E20" i="11" s="1"/>
  <c r="D21" i="11"/>
  <c r="H41" i="11"/>
  <c r="D41" i="11"/>
  <c r="H44" i="11"/>
  <c r="L40" i="11" s="1"/>
  <c r="F22" i="11"/>
  <c r="F21" i="11" s="1"/>
  <c r="E30" i="11" l="1"/>
  <c r="G26" i="11"/>
  <c r="G30" i="11" s="1"/>
  <c r="E23" i="11"/>
  <c r="D35" i="11"/>
  <c r="F23" i="11"/>
  <c r="F20" i="11"/>
  <c r="G22" i="11"/>
  <c r="F35" i="11" l="1"/>
  <c r="E35" i="11"/>
  <c r="H51" i="11"/>
  <c r="J32" i="11" s="1"/>
  <c r="J34" i="11" s="1"/>
  <c r="G21" i="11"/>
  <c r="H22" i="11"/>
  <c r="I22" i="11" s="1"/>
  <c r="J35" i="11" l="1"/>
  <c r="G20" i="11"/>
  <c r="G23" i="11"/>
  <c r="G34" i="11" s="1"/>
  <c r="H21" i="11"/>
  <c r="I21" i="11"/>
  <c r="G35" i="11" l="1"/>
  <c r="I20" i="11"/>
  <c r="J21" i="11"/>
  <c r="H20" i="11"/>
  <c r="I23" i="11"/>
  <c r="I34" i="11" s="1"/>
  <c r="H23" i="11"/>
  <c r="H34" i="11" s="1"/>
  <c r="D40" i="11" s="1"/>
  <c r="D43" i="11" s="1"/>
  <c r="D44" i="11" s="1"/>
  <c r="I35" i="11" l="1"/>
  <c r="H35" i="11"/>
  <c r="D50" i="11" s="1"/>
  <c r="L41" i="11" l="1"/>
  <c r="L42" i="11" s="1"/>
  <c r="D49" i="11"/>
</calcChain>
</file>

<file path=xl/sharedStrings.xml><?xml version="1.0" encoding="utf-8"?>
<sst xmlns="http://schemas.openxmlformats.org/spreadsheetml/2006/main" count="54" uniqueCount="43">
  <si>
    <t>Assumptions</t>
  </si>
  <si>
    <t>EV/EBITDA Mulltiple</t>
  </si>
  <si>
    <t>Debt</t>
  </si>
  <si>
    <t>Cash</t>
  </si>
  <si>
    <t>Capex</t>
  </si>
  <si>
    <t>Discounted Cash Flow</t>
  </si>
  <si>
    <t>Entry</t>
  </si>
  <si>
    <t>Exit</t>
  </si>
  <si>
    <t>Date</t>
  </si>
  <si>
    <t>Time Periods</t>
  </si>
  <si>
    <t>EV/EBITDA</t>
  </si>
  <si>
    <t>Year Fraction</t>
  </si>
  <si>
    <t>Average</t>
  </si>
  <si>
    <t>EBIT</t>
  </si>
  <si>
    <t>(Entry)/Exit</t>
  </si>
  <si>
    <t>Transaction CF</t>
  </si>
  <si>
    <t>Upside</t>
  </si>
  <si>
    <t>DCF (discounted cash flow) model</t>
  </si>
  <si>
    <t>Cash flow</t>
  </si>
  <si>
    <t>Valuation</t>
  </si>
  <si>
    <t>Taxes</t>
  </si>
  <si>
    <t>Depreciation and amortization</t>
  </si>
  <si>
    <t>Changes in net working capital (NWC)</t>
  </si>
  <si>
    <t>Unlevered free cash flow (UFCF)</t>
  </si>
  <si>
    <t>Intrinsic value</t>
  </si>
  <si>
    <t>Enterprise value</t>
  </si>
  <si>
    <t>Equity value</t>
  </si>
  <si>
    <t>Equity value/share</t>
  </si>
  <si>
    <t>Market cap</t>
  </si>
  <si>
    <t>Market value</t>
  </si>
  <si>
    <t>Market value vs. Intrinsic value</t>
  </si>
  <si>
    <t>Rate of return</t>
  </si>
  <si>
    <t>Target price upside</t>
  </si>
  <si>
    <t>Internal rate of return (IRR)</t>
  </si>
  <si>
    <t>Terminal value</t>
  </si>
  <si>
    <t>Perpetural growth</t>
  </si>
  <si>
    <t>Perpetural growth rate</t>
  </si>
  <si>
    <t>Discount rate</t>
  </si>
  <si>
    <t>Tax rate</t>
  </si>
  <si>
    <t>Transaction date</t>
  </si>
  <si>
    <t>Fiscal year end</t>
  </si>
  <si>
    <t>Current price</t>
  </si>
  <si>
    <t>Shares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</si>
</sst>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(#,##0\)_-;_-* &quot;-&quot;_-;_-@_-"/>
    <numFmt numFmtId="165" formatCode="0.0\x"/>
    <numFmt numFmtId="166" formatCode="_-* #,##0_-;\-* #,##0_-;_-* &quot;-&quot;??_-;_-@_-"/>
    <numFmt numFmtId="167" formatCode="_(* #,##0_);_(* \(#,##0\);_(* &quot;-&quot;??_);_(@_)"/>
    <numFmt numFmtId="168" formatCode="_-* #,##0.00_-;\(#,##0.00\)_-;_-* &quot;-&quot;_-;_-@_-"/>
  </numFmts>
  <fonts count="11" x14ac:knownFonts="1">
    <font>
      <sz val="12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  <scheme val="minor"/>
    </font>
    <font>
      <i/>
      <sz val="10"/>
      <color theme="1"/>
      <name val="Arial"/>
      <family val="2"/>
    </font>
    <font>
      <u/>
      <sz val="12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164" fontId="6" fillId="0" borderId="0" xfId="1" applyNumberFormat="1" applyFont="1"/>
    <xf numFmtId="164" fontId="2" fillId="0" borderId="0" xfId="1" applyNumberFormat="1" applyFont="1"/>
    <xf numFmtId="164" fontId="2" fillId="0" borderId="0" xfId="1" applyNumberFormat="1" applyFont="1" applyBorder="1"/>
    <xf numFmtId="164" fontId="8" fillId="0" borderId="0" xfId="1" applyNumberFormat="1" applyFont="1" applyBorder="1"/>
    <xf numFmtId="167" fontId="2" fillId="0" borderId="0" xfId="1" applyNumberFormat="1" applyFont="1"/>
    <xf numFmtId="164" fontId="8" fillId="0" borderId="0" xfId="1" applyNumberFormat="1" applyFont="1"/>
    <xf numFmtId="164" fontId="2" fillId="0" borderId="0" xfId="1" applyNumberFormat="1" applyFont="1" applyAlignment="1">
      <alignment horizontal="center"/>
    </xf>
    <xf numFmtId="9" fontId="2" fillId="0" borderId="0" xfId="2" applyFont="1" applyBorder="1"/>
    <xf numFmtId="9" fontId="2" fillId="0" borderId="0" xfId="2" applyFont="1"/>
    <xf numFmtId="168" fontId="2" fillId="0" borderId="0" xfId="1" applyNumberFormat="1" applyFont="1"/>
    <xf numFmtId="164" fontId="3" fillId="0" borderId="0" xfId="1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1" applyNumberFormat="1" applyFont="1" applyAlignment="1">
      <alignment horizontal="center"/>
    </xf>
    <xf numFmtId="14" fontId="2" fillId="0" borderId="0" xfId="1" applyNumberFormat="1" applyFont="1"/>
    <xf numFmtId="0" fontId="9" fillId="0" borderId="0" xfId="3" applyFont="1" applyAlignment="1">
      <alignment horizontal="right"/>
    </xf>
    <xf numFmtId="164" fontId="1" fillId="2" borderId="0" xfId="1" applyNumberFormat="1" applyFont="1" applyFill="1" applyBorder="1"/>
    <xf numFmtId="164" fontId="10" fillId="2" borderId="0" xfId="1" applyNumberFormat="1" applyFont="1" applyFill="1" applyBorder="1"/>
    <xf numFmtId="9" fontId="2" fillId="4" borderId="0" xfId="2" applyFont="1" applyFill="1" applyBorder="1" applyAlignment="1">
      <alignment horizontal="right"/>
    </xf>
    <xf numFmtId="9" fontId="2" fillId="4" borderId="0" xfId="2" applyFont="1" applyFill="1" applyAlignment="1">
      <alignment horizontal="right"/>
    </xf>
    <xf numFmtId="165" fontId="2" fillId="4" borderId="0" xfId="1" applyNumberFormat="1" applyFont="1" applyFill="1" applyAlignment="1">
      <alignment horizontal="right"/>
    </xf>
    <xf numFmtId="14" fontId="2" fillId="4" borderId="0" xfId="1" applyNumberFormat="1" applyFont="1" applyFill="1"/>
    <xf numFmtId="43" fontId="2" fillId="4" borderId="0" xfId="1" applyFont="1" applyFill="1" applyAlignment="1">
      <alignment horizontal="right"/>
    </xf>
    <xf numFmtId="166" fontId="2" fillId="4" borderId="0" xfId="1" applyNumberFormat="1" applyFont="1" applyFill="1" applyAlignment="1">
      <alignment horizontal="right"/>
    </xf>
    <xf numFmtId="164" fontId="2" fillId="4" borderId="0" xfId="1" applyNumberFormat="1" applyFont="1" applyFill="1"/>
    <xf numFmtId="164" fontId="1" fillId="2" borderId="0" xfId="1" applyNumberFormat="1" applyFont="1" applyFill="1" applyBorder="1" applyAlignment="1">
      <alignment horizontal="right"/>
    </xf>
    <xf numFmtId="0" fontId="1" fillId="2" borderId="0" xfId="1" applyNumberFormat="1" applyFont="1" applyFill="1" applyBorder="1"/>
    <xf numFmtId="164" fontId="3" fillId="0" borderId="1" xfId="1" applyNumberFormat="1" applyFont="1" applyBorder="1"/>
    <xf numFmtId="164" fontId="3" fillId="0" borderId="1" xfId="1" applyNumberFormat="1" applyFont="1" applyFill="1" applyBorder="1"/>
    <xf numFmtId="164" fontId="2" fillId="0" borderId="2" xfId="1" applyNumberFormat="1" applyFont="1" applyBorder="1"/>
    <xf numFmtId="14" fontId="2" fillId="0" borderId="2" xfId="1" applyNumberFormat="1" applyFont="1" applyBorder="1"/>
    <xf numFmtId="164" fontId="6" fillId="0" borderId="2" xfId="1" applyNumberFormat="1" applyFont="1" applyBorder="1"/>
    <xf numFmtId="164" fontId="2" fillId="0" borderId="2" xfId="1" applyNumberFormat="1" applyFont="1" applyBorder="1" applyAlignment="1">
      <alignment horizontal="center"/>
    </xf>
    <xf numFmtId="14" fontId="2" fillId="0" borderId="0" xfId="1" applyNumberFormat="1" applyFont="1" applyBorder="1"/>
    <xf numFmtId="14" fontId="2" fillId="0" borderId="0" xfId="1" applyNumberFormat="1" applyFont="1" applyFill="1" applyBorder="1"/>
    <xf numFmtId="1" fontId="2" fillId="0" borderId="0" xfId="1" applyNumberFormat="1" applyFont="1"/>
    <xf numFmtId="43" fontId="2" fillId="0" borderId="0" xfId="1" applyFont="1" applyBorder="1"/>
    <xf numFmtId="164" fontId="2" fillId="3" borderId="1" xfId="1" applyNumberFormat="1" applyFont="1" applyFill="1" applyBorder="1"/>
    <xf numFmtId="164" fontId="2" fillId="3" borderId="3" xfId="1" applyNumberFormat="1" applyFont="1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defRPr>
            </a:pPr>
            <a:r>
              <a:rPr lang="en-US" sz="1000" b="1"/>
              <a:t>Transaction</a:t>
            </a:r>
            <a:r>
              <a:rPr lang="en-US" sz="1000" b="1" baseline="0"/>
              <a:t> cash flow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Open Sans" panose="020B0606030504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'DCF model'!$E$21:$I$21</c:f>
              <c:numCache>
                <c:formatCode>m/d/yy</c:formatCode>
                <c:ptCount val="5"/>
                <c:pt idx="0">
                  <c:v>45107</c:v>
                </c:pt>
                <c:pt idx="1">
                  <c:v>45473</c:v>
                </c:pt>
                <c:pt idx="2">
                  <c:v>45838</c:v>
                </c:pt>
                <c:pt idx="3">
                  <c:v>46203</c:v>
                </c:pt>
                <c:pt idx="4">
                  <c:v>46568</c:v>
                </c:pt>
              </c:numCache>
            </c:numRef>
          </c:cat>
          <c:val>
            <c:numRef>
              <c:f>'DCF model'!$E$35:$I$35</c:f>
              <c:numCache>
                <c:formatCode>_-* #,##0_-;\(#,##0\)_-;_-* "-"_-;_-@_-</c:formatCode>
                <c:ptCount val="5"/>
                <c:pt idx="0">
                  <c:v>38768.693333333329</c:v>
                </c:pt>
                <c:pt idx="1">
                  <c:v>109356</c:v>
                </c:pt>
                <c:pt idx="2">
                  <c:v>104784.6</c:v>
                </c:pt>
                <c:pt idx="3">
                  <c:v>116193.79999999999</c:v>
                </c:pt>
                <c:pt idx="4">
                  <c:v>114614.6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3-CB4F-BE34-277B767DD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42849320"/>
        <c:axId val="542849648"/>
      </c:barChart>
      <c:dateAx>
        <c:axId val="5428493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42849648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5428496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428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ea typeface="Open Sans" panose="020B0606030504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Upside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</a:rPr>
            <a:t>Upside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862BEBE3-09B3-894C-A332-75918B61EB5D}" formatIdx="0"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22A3DF"/>
              </a:solidFill>
            </cx:spPr>
          </cx:dataPt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ckLabels/>
        <cx:numFmt formatCode="General" sourceLinked="0"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cx:txPr>
      </cx:axis>
    </cx:plotArea>
  </cx:chart>
  <cx:spPr>
    <a:solidFill>
      <a:schemeClr val="bg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561976</xdr:colOff>
      <xdr:row>20</xdr:row>
      <xdr:rowOff>130175</xdr:rowOff>
    </xdr:from>
    <xdr:to>
      <xdr:col>15</xdr:col>
      <xdr:colOff>492125</xdr:colOff>
      <xdr:row>33</xdr:row>
      <xdr:rowOff>152663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1495CA-76FF-A44D-8CE8-67788F3DD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48294</xdr:colOff>
      <xdr:row>43</xdr:row>
      <xdr:rowOff>74367</xdr:rowOff>
    </xdr:from>
    <xdr:to>
      <xdr:col>12</xdr:col>
      <xdr:colOff>580846</xdr:colOff>
      <xdr:row>54</xdr:row>
      <xdr:rowOff>150567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B81835-788F-D744-B4CD-F71CEE2B52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7794" y="8964367"/>
              <a:ext cx="3390052" cy="231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_2">
      <a:dk1>
        <a:srgbClr val="061F32"/>
      </a:dk1>
      <a:lt1>
        <a:srgbClr val="FFFFFF"/>
      </a:lt1>
      <a:dk2>
        <a:srgbClr val="44546A"/>
      </a:dk2>
      <a:lt2>
        <a:srgbClr val="E7E6E6"/>
      </a:lt2>
      <a:accent1>
        <a:srgbClr val="061F32"/>
      </a:accent1>
      <a:accent2>
        <a:srgbClr val="22A3DF"/>
      </a:accent2>
      <a:accent3>
        <a:srgbClr val="2222F6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deworks" id="{8DFC3B37-E359-CA49-A1F7-6E72575D4B5B}" vid="{B47373BC-2D7A-6C4B-8BE3-24FFBFBFCD5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7D25-88DB-2548-A6B4-1F9889699A6B}">
  <dimension ref="A2:O63"/>
  <sheetViews>
    <sheetView tabSelected="1" zoomScale="112" workbookViewId="0">
      <selection activeCell="G53" sqref="G53"/>
    </sheetView>
  </sheetViews>
  <sheetFormatPr baseColWidth="10" defaultColWidth="7.85546875" defaultRowHeight="16" x14ac:dyDescent="0.2"/>
  <cols>
    <col min="1" max="1" width="3" style="4" customWidth="1"/>
    <col min="2" max="2" width="10.85546875" style="4" customWidth="1"/>
    <col min="3" max="3" width="10.7109375" style="4" customWidth="1"/>
    <col min="4" max="4" width="9.7109375" style="17" customWidth="1"/>
    <col min="5" max="9" width="9.85546875" style="4" customWidth="1"/>
    <col min="10" max="14" width="10.7109375" style="4" customWidth="1"/>
    <col min="15" max="16384" width="7.85546875" style="4"/>
  </cols>
  <sheetData>
    <row r="2" spans="1:15" s="1" customFormat="1" ht="18" x14ac:dyDescent="0.2">
      <c r="B2" s="3" t="s">
        <v>17</v>
      </c>
      <c r="C2" s="2"/>
      <c r="D2" s="2"/>
      <c r="E2" s="2"/>
      <c r="F2" s="2"/>
      <c r="G2" s="2"/>
    </row>
    <row r="3" spans="1:15" s="1" customFormat="1" ht="18" x14ac:dyDescent="0.2">
      <c r="B3" s="3"/>
      <c r="C3" s="2"/>
      <c r="D3" s="2"/>
      <c r="E3" s="2"/>
      <c r="F3" s="2"/>
      <c r="G3" s="2"/>
    </row>
    <row r="4" spans="1:15" s="1" customFormat="1" ht="18" x14ac:dyDescent="0.2">
      <c r="B4" s="3" t="s">
        <v>0</v>
      </c>
      <c r="C4" s="2"/>
      <c r="D4" s="2"/>
      <c r="E4" s="2"/>
      <c r="F4" s="2"/>
      <c r="G4" s="2"/>
    </row>
    <row r="5" spans="1:15" x14ac:dyDescent="0.2">
      <c r="A5" s="5"/>
      <c r="B5" s="20" t="s">
        <v>0</v>
      </c>
      <c r="C5" s="21"/>
      <c r="D5" s="21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6" t="s">
        <v>38</v>
      </c>
      <c r="C6" s="6"/>
      <c r="D6" s="22">
        <v>0.2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 t="s">
        <v>37</v>
      </c>
      <c r="C7" s="5"/>
      <c r="D7" s="23">
        <v>0.12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 t="s">
        <v>36</v>
      </c>
      <c r="C8" s="5"/>
      <c r="D8" s="23">
        <v>0.05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 t="s">
        <v>1</v>
      </c>
      <c r="C9" s="5"/>
      <c r="D9" s="24">
        <v>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 t="s">
        <v>39</v>
      </c>
      <c r="C10" s="5"/>
      <c r="D10" s="25">
        <v>44975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 t="s">
        <v>40</v>
      </c>
      <c r="C11" s="5"/>
      <c r="D11" s="25">
        <v>45291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 t="s">
        <v>41</v>
      </c>
      <c r="C12" s="5"/>
      <c r="D12" s="26">
        <v>45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 t="s">
        <v>42</v>
      </c>
      <c r="C13" s="5"/>
      <c r="D13" s="27">
        <v>25000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 t="s">
        <v>2</v>
      </c>
      <c r="C14" s="5"/>
      <c r="D14" s="27">
        <v>50000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 t="s">
        <v>3</v>
      </c>
      <c r="C15" s="5"/>
      <c r="D15" s="27">
        <v>150000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 t="s">
        <v>4</v>
      </c>
      <c r="C16" s="5"/>
      <c r="D16" s="28">
        <v>30000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7" thickBot="1" x14ac:dyDescent="0.25">
      <c r="A17" s="5"/>
      <c r="B17" s="5"/>
      <c r="C17" s="5"/>
      <c r="D17" s="18"/>
      <c r="J17" s="5"/>
      <c r="K17" s="5"/>
      <c r="L17" s="5"/>
      <c r="M17" s="5"/>
      <c r="N17" s="5"/>
      <c r="O17" s="5"/>
    </row>
    <row r="18" spans="1:15" s="35" customFormat="1" x14ac:dyDescent="0.2">
      <c r="A18" s="33"/>
      <c r="B18" s="33"/>
      <c r="C18" s="33"/>
      <c r="D18" s="34"/>
      <c r="J18" s="33"/>
      <c r="K18" s="33"/>
      <c r="L18" s="33"/>
      <c r="M18" s="33"/>
      <c r="N18" s="33"/>
      <c r="O18" s="33"/>
    </row>
    <row r="19" spans="1:15" ht="18" x14ac:dyDescent="0.2">
      <c r="A19" s="5"/>
      <c r="B19" s="3" t="s">
        <v>18</v>
      </c>
      <c r="C19" s="5"/>
      <c r="D19" s="18"/>
      <c r="J19" s="5"/>
      <c r="K19" s="5"/>
      <c r="L19" s="5"/>
      <c r="M19" s="5"/>
      <c r="N19" s="5"/>
      <c r="O19" s="5"/>
    </row>
    <row r="20" spans="1:15" x14ac:dyDescent="0.2">
      <c r="A20" s="5"/>
      <c r="B20" s="20" t="s">
        <v>5</v>
      </c>
      <c r="C20" s="21"/>
      <c r="D20" s="29" t="s">
        <v>6</v>
      </c>
      <c r="E20" s="30">
        <f>YEAR(E21)</f>
        <v>2023</v>
      </c>
      <c r="F20" s="30">
        <f t="shared" ref="F20:I20" si="0">YEAR(F21)</f>
        <v>2024</v>
      </c>
      <c r="G20" s="30">
        <f t="shared" si="0"/>
        <v>2025</v>
      </c>
      <c r="H20" s="30">
        <f t="shared" si="0"/>
        <v>2026</v>
      </c>
      <c r="I20" s="30">
        <f t="shared" si="0"/>
        <v>2027</v>
      </c>
      <c r="J20" s="29" t="s">
        <v>7</v>
      </c>
      <c r="K20" s="5"/>
      <c r="O20" s="5"/>
    </row>
    <row r="21" spans="1:15" x14ac:dyDescent="0.2">
      <c r="A21" s="5"/>
      <c r="B21" s="6" t="s">
        <v>8</v>
      </c>
      <c r="C21" s="6"/>
      <c r="D21" s="37">
        <f>D10</f>
        <v>44975</v>
      </c>
      <c r="E21" s="38">
        <f>DATE(YEAR($D$11)+E22,6,30)</f>
        <v>45107</v>
      </c>
      <c r="F21" s="38">
        <f>DATE(YEAR($D$11)+F22,6,30)</f>
        <v>45473</v>
      </c>
      <c r="G21" s="38">
        <f>DATE(YEAR($D$11)+G22,6,30)</f>
        <v>45838</v>
      </c>
      <c r="H21" s="38">
        <f>DATE(YEAR($D$11)+H22,6,30)</f>
        <v>46203</v>
      </c>
      <c r="I21" s="38">
        <f>DATE(YEAR($D$11)+I22,6,30)</f>
        <v>46568</v>
      </c>
      <c r="J21" s="37">
        <f>I21</f>
        <v>46568</v>
      </c>
      <c r="K21" s="5"/>
      <c r="O21" s="5"/>
    </row>
    <row r="22" spans="1:15" x14ac:dyDescent="0.2">
      <c r="A22" s="5"/>
      <c r="B22" s="6" t="s">
        <v>9</v>
      </c>
      <c r="C22" s="7"/>
      <c r="D22" s="37"/>
      <c r="E22" s="39">
        <v>0</v>
      </c>
      <c r="F22" s="39">
        <f>E22+1</f>
        <v>1</v>
      </c>
      <c r="G22" s="39">
        <f>F22+1</f>
        <v>2</v>
      </c>
      <c r="H22" s="39">
        <f t="shared" ref="H22" si="1">G22+1</f>
        <v>3</v>
      </c>
      <c r="I22" s="39">
        <f>H22+1</f>
        <v>4</v>
      </c>
      <c r="J22" s="37"/>
      <c r="K22" s="5"/>
      <c r="O22" s="5"/>
    </row>
    <row r="23" spans="1:15" x14ac:dyDescent="0.2">
      <c r="A23" s="5"/>
      <c r="B23" s="5" t="s">
        <v>11</v>
      </c>
      <c r="C23" s="5"/>
      <c r="D23" s="5"/>
      <c r="E23" s="40">
        <f>YEARFRAC(D21,E21)</f>
        <v>0.36666666666666664</v>
      </c>
      <c r="F23" s="40">
        <f>YEARFRAC(E21,F21)</f>
        <v>1</v>
      </c>
      <c r="G23" s="40">
        <f>YEARFRAC(F21,G21)</f>
        <v>1</v>
      </c>
      <c r="H23" s="40">
        <f>YEARFRAC(G21,H21)</f>
        <v>1</v>
      </c>
      <c r="I23" s="40">
        <f>YEARFRAC(H21,I21)</f>
        <v>1</v>
      </c>
      <c r="J23" s="5"/>
      <c r="K23" s="5"/>
      <c r="O23" s="5"/>
    </row>
    <row r="24" spans="1:15" x14ac:dyDescent="0.2">
      <c r="A24" s="5"/>
      <c r="B24" s="9"/>
      <c r="C24" s="5"/>
      <c r="D24" s="5"/>
      <c r="E24" s="40"/>
      <c r="F24" s="40"/>
      <c r="G24" s="40"/>
      <c r="H24" s="40"/>
      <c r="I24" s="40"/>
      <c r="J24" s="5"/>
      <c r="K24" s="5"/>
      <c r="O24" s="5"/>
    </row>
    <row r="25" spans="1:15" x14ac:dyDescent="0.2">
      <c r="A25" s="5"/>
      <c r="B25" s="5" t="s">
        <v>13</v>
      </c>
      <c r="C25" s="5"/>
      <c r="D25" s="5"/>
      <c r="E25" s="6">
        <v>160891</v>
      </c>
      <c r="F25" s="6">
        <v>161805</v>
      </c>
      <c r="G25" s="6">
        <v>162222</v>
      </c>
      <c r="H25" s="6">
        <v>175646</v>
      </c>
      <c r="I25" s="6">
        <v>173982</v>
      </c>
      <c r="J25" s="5"/>
      <c r="K25" s="5"/>
      <c r="L25" s="5"/>
      <c r="M25" s="5"/>
      <c r="N25" s="5"/>
      <c r="O25" s="5"/>
    </row>
    <row r="26" spans="1:15" x14ac:dyDescent="0.2">
      <c r="A26" s="5"/>
      <c r="B26" s="5" t="s">
        <v>20</v>
      </c>
      <c r="C26" s="5"/>
      <c r="D26" s="5"/>
      <c r="E26" s="8">
        <f>-E25*$D$6</f>
        <v>-32178.2</v>
      </c>
      <c r="F26" s="8">
        <f t="shared" ref="F26:I26" si="2">-F25*$D$6</f>
        <v>-32361</v>
      </c>
      <c r="G26" s="8">
        <f t="shared" si="2"/>
        <v>-32444.400000000001</v>
      </c>
      <c r="H26" s="8">
        <f t="shared" si="2"/>
        <v>-35129.200000000004</v>
      </c>
      <c r="I26" s="8">
        <f t="shared" si="2"/>
        <v>-34796.400000000001</v>
      </c>
      <c r="J26" s="5"/>
      <c r="K26" s="5"/>
      <c r="L26" s="5"/>
      <c r="M26" s="5"/>
      <c r="N26" s="5"/>
      <c r="O26" s="5"/>
    </row>
    <row r="27" spans="1:15" x14ac:dyDescent="0.2">
      <c r="A27" s="5"/>
      <c r="B27" s="5" t="s">
        <v>21</v>
      </c>
      <c r="C27" s="5"/>
      <c r="D27" s="5"/>
      <c r="E27" s="8">
        <v>6972</v>
      </c>
      <c r="F27" s="8">
        <v>9855</v>
      </c>
      <c r="G27" s="8">
        <v>5050</v>
      </c>
      <c r="H27" s="8">
        <v>5583</v>
      </c>
      <c r="I27" s="8">
        <v>5404</v>
      </c>
      <c r="J27" s="5"/>
      <c r="K27" s="5"/>
      <c r="L27" s="5"/>
      <c r="M27" s="5"/>
      <c r="N27" s="5"/>
      <c r="O27" s="5"/>
    </row>
    <row r="28" spans="1:15" x14ac:dyDescent="0.2">
      <c r="A28" s="5"/>
      <c r="B28" s="5" t="s">
        <v>4</v>
      </c>
      <c r="C28" s="5"/>
      <c r="D28" s="5"/>
      <c r="E28" s="5">
        <f>-$D$16</f>
        <v>-30000</v>
      </c>
      <c r="F28" s="5">
        <f t="shared" ref="F28:I28" si="3">-$D$16</f>
        <v>-30000</v>
      </c>
      <c r="G28" s="5">
        <f t="shared" si="3"/>
        <v>-30000</v>
      </c>
      <c r="H28" s="5">
        <f t="shared" si="3"/>
        <v>-30000</v>
      </c>
      <c r="I28" s="5">
        <f t="shared" si="3"/>
        <v>-30000</v>
      </c>
      <c r="J28" s="5"/>
      <c r="K28" s="5"/>
      <c r="L28" s="5"/>
      <c r="M28" s="5"/>
      <c r="N28" s="5"/>
      <c r="O28" s="5"/>
    </row>
    <row r="29" spans="1:15" x14ac:dyDescent="0.2">
      <c r="A29" s="5"/>
      <c r="B29" s="5" t="s">
        <v>22</v>
      </c>
      <c r="C29" s="5"/>
      <c r="D29" s="5"/>
      <c r="E29" s="5">
        <v>48</v>
      </c>
      <c r="F29" s="5">
        <v>57</v>
      </c>
      <c r="G29" s="5">
        <v>-43</v>
      </c>
      <c r="H29" s="5">
        <v>94</v>
      </c>
      <c r="I29" s="5">
        <v>25</v>
      </c>
      <c r="J29" s="5"/>
      <c r="K29" s="5"/>
      <c r="L29" s="5"/>
      <c r="M29" s="5"/>
      <c r="N29" s="5"/>
      <c r="O29" s="5"/>
    </row>
    <row r="30" spans="1:15" x14ac:dyDescent="0.2">
      <c r="A30" s="5"/>
      <c r="B30" s="31" t="s">
        <v>23</v>
      </c>
      <c r="C30" s="31"/>
      <c r="D30" s="31"/>
      <c r="E30" s="31">
        <f>SUM(E25:E29)</f>
        <v>105732.79999999999</v>
      </c>
      <c r="F30" s="31">
        <f t="shared" ref="F30:I30" si="4">SUM(F25:F29)</f>
        <v>109356</v>
      </c>
      <c r="G30" s="31">
        <f t="shared" si="4"/>
        <v>104784.6</v>
      </c>
      <c r="H30" s="31">
        <f t="shared" si="4"/>
        <v>116193.79999999999</v>
      </c>
      <c r="I30" s="31">
        <f t="shared" si="4"/>
        <v>114614.6</v>
      </c>
      <c r="J30" s="31"/>
      <c r="K30" s="5"/>
      <c r="L30" s="5"/>
      <c r="M30" s="5"/>
      <c r="N30" s="5"/>
      <c r="O30" s="5"/>
    </row>
    <row r="31" spans="1:15" x14ac:dyDescent="0.2">
      <c r="A31" s="5"/>
      <c r="B31" s="31"/>
      <c r="C31" s="31"/>
      <c r="D31" s="31"/>
      <c r="E31" s="31"/>
      <c r="F31" s="31"/>
      <c r="G31" s="31"/>
      <c r="H31" s="31"/>
      <c r="I31" s="31"/>
      <c r="J31" s="31"/>
      <c r="K31" s="5"/>
      <c r="L31" s="5"/>
      <c r="M31" s="5"/>
      <c r="N31" s="5"/>
      <c r="O31" s="5"/>
    </row>
    <row r="32" spans="1:15" x14ac:dyDescent="0.2">
      <c r="A32" s="5"/>
      <c r="B32" s="31" t="s">
        <v>14</v>
      </c>
      <c r="C32" s="31"/>
      <c r="D32" s="32">
        <f>-H43</f>
        <v>-1025000</v>
      </c>
      <c r="E32" s="31"/>
      <c r="F32" s="31"/>
      <c r="G32" s="31"/>
      <c r="H32" s="31"/>
      <c r="I32" s="31"/>
      <c r="J32" s="32">
        <f>H51</f>
        <v>1308074.5000000002</v>
      </c>
      <c r="K32" s="5"/>
      <c r="L32" s="5"/>
      <c r="M32" s="5"/>
      <c r="N32" s="5"/>
      <c r="O32" s="5"/>
    </row>
    <row r="33" spans="1:15" x14ac:dyDescent="0.2">
      <c r="A33" s="5"/>
      <c r="B33" s="31"/>
      <c r="C33" s="31"/>
      <c r="D33" s="32"/>
      <c r="E33" s="31"/>
      <c r="F33" s="31"/>
      <c r="G33" s="31"/>
      <c r="H33" s="31"/>
      <c r="I33" s="31"/>
      <c r="J33" s="32"/>
      <c r="K33" s="5"/>
      <c r="L33" s="5"/>
      <c r="M33" s="5"/>
      <c r="N33" s="5"/>
      <c r="O33" s="5"/>
    </row>
    <row r="34" spans="1:15" x14ac:dyDescent="0.2">
      <c r="A34" s="5"/>
      <c r="B34" s="41" t="s">
        <v>15</v>
      </c>
      <c r="C34" s="41"/>
      <c r="D34" s="41">
        <v>0</v>
      </c>
      <c r="E34" s="41">
        <f>(E32+E30)*E23</f>
        <v>38768.693333333329</v>
      </c>
      <c r="F34" s="41">
        <f>(F32+F30)*F23</f>
        <v>109356</v>
      </c>
      <c r="G34" s="41">
        <f t="shared" ref="G34:H34" si="5">(G32+G30)*G23</f>
        <v>104784.6</v>
      </c>
      <c r="H34" s="41">
        <f t="shared" si="5"/>
        <v>116193.79999999999</v>
      </c>
      <c r="I34" s="41">
        <f>(I32+I30)*I23</f>
        <v>114614.6</v>
      </c>
      <c r="J34" s="41">
        <f t="shared" ref="J34" si="6">J32+J30</f>
        <v>1308074.5000000002</v>
      </c>
      <c r="K34" s="5"/>
      <c r="L34" s="5"/>
      <c r="M34" s="5"/>
      <c r="N34" s="5"/>
      <c r="O34" s="5"/>
    </row>
    <row r="35" spans="1:15" x14ac:dyDescent="0.2">
      <c r="A35" s="5"/>
      <c r="B35" s="42" t="s">
        <v>15</v>
      </c>
      <c r="C35" s="42"/>
      <c r="D35" s="42">
        <f>D32+D30</f>
        <v>-1025000</v>
      </c>
      <c r="E35" s="42">
        <f>(E32+E30)*E23</f>
        <v>38768.693333333329</v>
      </c>
      <c r="F35" s="42">
        <f t="shared" ref="F35:I35" si="7">(F32+F30)*F23</f>
        <v>109356</v>
      </c>
      <c r="G35" s="42">
        <f t="shared" si="7"/>
        <v>104784.6</v>
      </c>
      <c r="H35" s="42">
        <f t="shared" si="7"/>
        <v>116193.79999999999</v>
      </c>
      <c r="I35" s="42">
        <f t="shared" si="7"/>
        <v>114614.6</v>
      </c>
      <c r="J35" s="42">
        <f>J32</f>
        <v>1308074.5000000002</v>
      </c>
      <c r="K35" s="5"/>
      <c r="L35" s="5"/>
      <c r="M35" s="5"/>
      <c r="N35" s="5"/>
      <c r="O35" s="5"/>
    </row>
    <row r="36" spans="1:15" ht="17" thickBot="1" x14ac:dyDescent="0.25">
      <c r="A36" s="5"/>
      <c r="B36" s="5"/>
      <c r="C36" s="5"/>
      <c r="D36" s="10"/>
      <c r="E36" s="5"/>
      <c r="G36" s="5"/>
      <c r="H36" s="5"/>
      <c r="I36" s="5"/>
      <c r="J36" s="5"/>
      <c r="L36" s="5"/>
      <c r="M36" s="5"/>
      <c r="N36" s="5"/>
      <c r="O36" s="5"/>
    </row>
    <row r="37" spans="1:15" s="35" customFormat="1" x14ac:dyDescent="0.2">
      <c r="A37" s="33"/>
      <c r="B37" s="33"/>
      <c r="C37" s="33"/>
      <c r="D37" s="36"/>
      <c r="E37" s="33"/>
      <c r="G37" s="33"/>
      <c r="H37" s="33"/>
      <c r="I37" s="33"/>
      <c r="J37" s="33"/>
      <c r="L37" s="33"/>
      <c r="M37" s="33"/>
      <c r="N37" s="33"/>
      <c r="O37" s="33"/>
    </row>
    <row r="38" spans="1:15" ht="18" x14ac:dyDescent="0.2">
      <c r="A38" s="5"/>
      <c r="B38" s="3" t="s">
        <v>19</v>
      </c>
      <c r="C38" s="5"/>
      <c r="D38" s="10"/>
      <c r="E38" s="5"/>
      <c r="G38" s="5"/>
      <c r="H38" s="5"/>
      <c r="I38" s="5"/>
      <c r="J38" s="5"/>
      <c r="L38" s="5"/>
      <c r="M38" s="5"/>
      <c r="N38" s="5"/>
      <c r="O38" s="5"/>
    </row>
    <row r="39" spans="1:15" x14ac:dyDescent="0.2">
      <c r="A39" s="5"/>
      <c r="B39" s="20" t="s">
        <v>24</v>
      </c>
      <c r="C39" s="21"/>
      <c r="D39" s="21"/>
      <c r="E39" s="5"/>
      <c r="F39" s="20" t="s">
        <v>29</v>
      </c>
      <c r="G39" s="21"/>
      <c r="H39" s="21"/>
      <c r="J39" s="20" t="s">
        <v>30</v>
      </c>
      <c r="K39" s="21"/>
      <c r="L39" s="21"/>
      <c r="O39" s="5"/>
    </row>
    <row r="40" spans="1:15" x14ac:dyDescent="0.2">
      <c r="A40" s="5"/>
      <c r="B40" s="6" t="s">
        <v>25</v>
      </c>
      <c r="C40" s="6"/>
      <c r="D40" s="6">
        <f>XNPV(D7,D34:J34,D21:J21)</f>
        <v>1157982.6552218627</v>
      </c>
      <c r="E40" s="5"/>
      <c r="F40" s="6" t="s">
        <v>28</v>
      </c>
      <c r="G40" s="6"/>
      <c r="H40" s="6">
        <f>D13*D12</f>
        <v>1125000</v>
      </c>
      <c r="J40" s="5" t="s">
        <v>29</v>
      </c>
      <c r="K40" s="5"/>
      <c r="L40" s="13">
        <f>H44</f>
        <v>45</v>
      </c>
      <c r="O40" s="5"/>
    </row>
    <row r="41" spans="1:15" x14ac:dyDescent="0.2">
      <c r="A41" s="5"/>
      <c r="B41" s="5" t="s">
        <v>3</v>
      </c>
      <c r="C41" s="5"/>
      <c r="D41" s="5">
        <f>+D15</f>
        <v>150000</v>
      </c>
      <c r="E41" s="5"/>
      <c r="F41" s="5" t="s">
        <v>2</v>
      </c>
      <c r="G41" s="5"/>
      <c r="H41" s="5">
        <f>D14</f>
        <v>50000</v>
      </c>
      <c r="J41" s="5" t="s">
        <v>16</v>
      </c>
      <c r="K41" s="5"/>
      <c r="L41" s="13">
        <f>D44-H44</f>
        <v>5.319306208874508</v>
      </c>
      <c r="O41" s="5"/>
    </row>
    <row r="42" spans="1:15" x14ac:dyDescent="0.2">
      <c r="A42" s="5"/>
      <c r="B42" s="5" t="s">
        <v>2</v>
      </c>
      <c r="C42" s="5"/>
      <c r="D42" s="5">
        <f>-D14</f>
        <v>-50000</v>
      </c>
      <c r="E42" s="5"/>
      <c r="F42" s="5" t="s">
        <v>3</v>
      </c>
      <c r="G42" s="5"/>
      <c r="H42" s="5">
        <f>-D15</f>
        <v>-150000</v>
      </c>
      <c r="J42" s="5" t="s">
        <v>24</v>
      </c>
      <c r="K42" s="5"/>
      <c r="L42" s="13">
        <f>SUM(L40:L41)</f>
        <v>50.319306208874508</v>
      </c>
      <c r="M42" s="5"/>
      <c r="N42" s="5"/>
      <c r="O42" s="5"/>
    </row>
    <row r="43" spans="1:15" x14ac:dyDescent="0.2">
      <c r="A43" s="5"/>
      <c r="B43" s="31" t="s">
        <v>26</v>
      </c>
      <c r="C43" s="31"/>
      <c r="D43" s="31">
        <f>D40+D41+D42</f>
        <v>1257982.6552218627</v>
      </c>
      <c r="E43" s="5"/>
      <c r="F43" s="31" t="s">
        <v>25</v>
      </c>
      <c r="G43" s="31"/>
      <c r="H43" s="31">
        <f>H40+H41+H42</f>
        <v>1025000</v>
      </c>
      <c r="J43" s="5"/>
      <c r="O43" s="5"/>
    </row>
    <row r="44" spans="1:15" x14ac:dyDescent="0.2">
      <c r="A44" s="5"/>
      <c r="B44" s="5" t="s">
        <v>27</v>
      </c>
      <c r="C44" s="5"/>
      <c r="D44" s="13">
        <f>D43/D13</f>
        <v>50.319306208874508</v>
      </c>
      <c r="E44" s="5"/>
      <c r="F44" s="5" t="s">
        <v>27</v>
      </c>
      <c r="G44" s="5"/>
      <c r="H44" s="13">
        <f>D12</f>
        <v>45</v>
      </c>
      <c r="J44" s="5"/>
      <c r="O44" s="5"/>
    </row>
    <row r="45" spans="1:15" x14ac:dyDescent="0.2">
      <c r="A45" s="5"/>
      <c r="J45" s="5"/>
      <c r="O45" s="5"/>
    </row>
    <row r="46" spans="1:15" x14ac:dyDescent="0.2">
      <c r="A46" s="5"/>
      <c r="B46" s="5"/>
      <c r="C46" s="5"/>
      <c r="D46" s="5"/>
      <c r="E46" s="5"/>
      <c r="G46" s="5"/>
      <c r="H46" s="5"/>
      <c r="I46" s="5"/>
      <c r="J46" s="5"/>
      <c r="O46" s="5"/>
    </row>
    <row r="47" spans="1:15" x14ac:dyDescent="0.2">
      <c r="A47" s="5"/>
      <c r="C47" s="5"/>
      <c r="D47" s="10"/>
      <c r="E47" s="5"/>
      <c r="G47" s="5"/>
      <c r="H47" s="5"/>
      <c r="I47" s="14"/>
      <c r="J47" s="5"/>
      <c r="L47" s="5"/>
      <c r="M47" s="5"/>
      <c r="N47" s="5"/>
      <c r="O47" s="5"/>
    </row>
    <row r="48" spans="1:15" x14ac:dyDescent="0.2">
      <c r="A48" s="5"/>
      <c r="B48" s="20" t="s">
        <v>31</v>
      </c>
      <c r="C48" s="21"/>
      <c r="D48" s="21"/>
      <c r="E48" s="5"/>
      <c r="F48" s="20" t="s">
        <v>34</v>
      </c>
      <c r="G48" s="21"/>
      <c r="H48" s="21"/>
      <c r="I48" s="5"/>
      <c r="K48" s="5"/>
      <c r="L48" s="5"/>
      <c r="M48" s="5"/>
      <c r="N48" s="5"/>
      <c r="O48" s="5"/>
    </row>
    <row r="49" spans="1:15" x14ac:dyDescent="0.2">
      <c r="A49" s="5"/>
      <c r="B49" s="6" t="s">
        <v>32</v>
      </c>
      <c r="C49" s="6"/>
      <c r="D49" s="11">
        <f>D44/H44-1</f>
        <v>0.11820680464165578</v>
      </c>
      <c r="E49" s="5"/>
      <c r="F49" s="6" t="s">
        <v>35</v>
      </c>
      <c r="G49" s="6"/>
      <c r="H49" s="6">
        <f>(I30*(1+D8))/(D7-D8)</f>
        <v>1719219.0000000005</v>
      </c>
      <c r="N49" s="15"/>
      <c r="O49" s="5"/>
    </row>
    <row r="50" spans="1:15" x14ac:dyDescent="0.2">
      <c r="A50" s="5"/>
      <c r="B50" s="5" t="s">
        <v>33</v>
      </c>
      <c r="C50" s="5"/>
      <c r="D50" s="12">
        <f>XIRR(D35:J35,D21:J21)</f>
        <v>0.15687943100929266</v>
      </c>
      <c r="E50" s="5"/>
      <c r="F50" s="5" t="s">
        <v>10</v>
      </c>
      <c r="G50" s="5"/>
      <c r="H50" s="8">
        <f>D9*(I25+I27)</f>
        <v>896930</v>
      </c>
      <c r="N50" s="16"/>
      <c r="O50" s="5"/>
    </row>
    <row r="51" spans="1:15" x14ac:dyDescent="0.2">
      <c r="A51" s="5"/>
      <c r="B51" s="5"/>
      <c r="C51" s="5"/>
      <c r="D51" s="10"/>
      <c r="E51" s="5"/>
      <c r="F51" s="31" t="s">
        <v>12</v>
      </c>
      <c r="G51" s="31"/>
      <c r="H51" s="31">
        <f>AVERAGE(H49:H50)</f>
        <v>1308074.5000000002</v>
      </c>
      <c r="N51" s="19"/>
      <c r="O51" s="5"/>
    </row>
    <row r="52" spans="1:15" x14ac:dyDescent="0.2">
      <c r="A52" s="5"/>
      <c r="B52" s="5"/>
      <c r="C52" s="5"/>
      <c r="D52" s="10"/>
      <c r="E52" s="5"/>
      <c r="F52" s="5"/>
      <c r="G52" s="5"/>
      <c r="H52" s="5"/>
      <c r="O52" s="5"/>
    </row>
    <row r="53" spans="1:15" x14ac:dyDescent="0.2">
      <c r="A53" s="5"/>
      <c r="E53" s="5"/>
      <c r="F53" s="5"/>
      <c r="G53" s="5"/>
      <c r="H53" s="5"/>
      <c r="M53" s="5"/>
      <c r="O53" s="5"/>
    </row>
    <row r="54" spans="1:15" x14ac:dyDescent="0.2">
      <c r="A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2">
      <c r="A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x14ac:dyDescent="0.2">
      <c r="A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2">
      <c r="A57" s="5"/>
      <c r="B57" s="5"/>
      <c r="C57" s="5"/>
      <c r="D57" s="1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x14ac:dyDescent="0.2">
      <c r="A58" s="5"/>
      <c r="B58" s="5"/>
      <c r="C58" s="5"/>
      <c r="D58" s="1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2">
      <c r="A59" s="5"/>
      <c r="B59" s="5"/>
      <c r="C59" s="5"/>
      <c r="D59" s="1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2">
      <c r="A60" s="5"/>
      <c r="B60" s="5"/>
      <c r="C60" s="5"/>
      <c r="D60" s="1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2">
      <c r="A61" s="5"/>
      <c r="B61" s="5"/>
      <c r="C61" s="5"/>
      <c r="D61" s="1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2">
      <c r="A62" s="5"/>
      <c r="B62" s="5"/>
      <c r="C62" s="5"/>
      <c r="D62" s="1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2">
      <c r="B63" s="5"/>
      <c r="C63" s="5"/>
      <c r="D63" s="10"/>
      <c r="E63" s="5"/>
      <c r="F63" s="5"/>
      <c r="G63" s="5"/>
      <c r="H63" s="5"/>
      <c r="I63" s="5"/>
      <c r="J63" s="5"/>
      <c r="K63" s="5"/>
      <c r="L6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Due Diligence DCF model</dc:title>
  <dc:subject>DCF model</dc:subject>
  <dc:creator>Slideworks</dc:creator>
  <cp:keywords>due diligence, m&amp;a, consulting powerpoints, financial models</cp:keywords>
  <dc:description>Copyright of Slideworks.io. Any unauthorized distribution prohibited. See our full terms and conditions at https://slideworks.io/terms </dc:description>
  <cp:lastModifiedBy>Microsoft Office User</cp:lastModifiedBy>
  <dcterms:created xsi:type="dcterms:W3CDTF">2024-07-05T09:53:14Z</dcterms:created>
  <dcterms:modified xsi:type="dcterms:W3CDTF">2025-01-15T11:54:53Z</dcterms:modified>
  <cp:category>dcf model</cp:category>
</cp:coreProperties>
</file>