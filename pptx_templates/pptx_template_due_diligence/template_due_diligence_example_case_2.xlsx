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lexandrahazardkampmann/Desktop/SLIDEWORKS/7. Slideworks - Due diligence ONLINE/Final version for sale_JAN15/Excel case example/"/>
    </mc:Choice>
  </mc:AlternateContent>
  <xr:revisionPtr revIDLastSave="0" documentId="13_ncr:1_{4BBC62F4-B78C-3C4B-8F67-B19DDCB2715C}" xr6:coauthVersionLast="47" xr6:coauthVersionMax="47" xr10:uidLastSave="{00000000-0000-0000-0000-000000000000}"/>
  <bookViews>
    <workbookView xWindow="0" yWindow="500" windowWidth="28800" windowHeight="16440" activeTab="1" xr2:uid="{00000000-000D-0000-FFFF-FFFF00000000}"/>
  </bookViews>
  <sheets>
    <sheet name="P&amp;L" sheetId="7" r:id="rId1"/>
    <sheet name="Financials for base case" sheetId="12" r:id="rId2"/>
    <sheet name="Enterprise value" sheetId="13" r:id="rId3"/>
    <sheet name="Kick-back agreement" sheetId="11" r:id="rId4"/>
    <sheet name="Sensitivity analysis" sheetId="6" r:id="rId5"/>
    <sheet name="Base case" sheetId="5" r:id="rId6"/>
    <sheet name="DCF valuation" sheetId="3" r:id="rId7"/>
    <sheet name="Peers" sheetId="2" r:id="rId8"/>
    <sheet name="APPENDIX &gt;&gt;&gt;" sheetId="14" r:id="rId9"/>
    <sheet name="Profit and loss" sheetId="10" r:id="rId10"/>
    <sheet name="Comparable transactions" sheetId="1" r:id="rId11"/>
    <sheet name="Balance sheet" sheetId="9" r:id="rId12"/>
    <sheet name="Cash flow statement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3" l="1"/>
  <c r="C20" i="13"/>
  <c r="C25" i="13"/>
  <c r="C12" i="13"/>
  <c r="G7" i="13"/>
  <c r="F7" i="13"/>
  <c r="L10" i="12"/>
  <c r="L8" i="12"/>
  <c r="L6" i="12"/>
  <c r="L4" i="12"/>
  <c r="D5" i="12"/>
  <c r="K25" i="12"/>
  <c r="J25" i="12"/>
  <c r="I25" i="12"/>
  <c r="H25" i="12"/>
  <c r="G25" i="12"/>
  <c r="F25" i="12"/>
  <c r="E25" i="12"/>
  <c r="D25" i="12"/>
  <c r="C25" i="12"/>
  <c r="K9" i="12"/>
  <c r="J9" i="12"/>
  <c r="I9" i="12"/>
  <c r="H9" i="12"/>
  <c r="G9" i="12"/>
  <c r="F9" i="12"/>
  <c r="E9" i="12"/>
  <c r="D9" i="12"/>
  <c r="C9" i="12"/>
  <c r="K7" i="12"/>
  <c r="J7" i="12"/>
  <c r="I7" i="12"/>
  <c r="H7" i="12"/>
  <c r="G7" i="12"/>
  <c r="F7" i="12"/>
  <c r="E7" i="12"/>
  <c r="D7" i="12"/>
  <c r="C7" i="12"/>
  <c r="K5" i="12"/>
  <c r="J5" i="12"/>
  <c r="I5" i="12"/>
  <c r="H5" i="12"/>
  <c r="G5" i="12"/>
  <c r="F5" i="12"/>
  <c r="E5" i="12"/>
  <c r="K56" i="10"/>
  <c r="J56" i="10"/>
  <c r="I56" i="10"/>
  <c r="H56" i="10"/>
  <c r="G56" i="10"/>
  <c r="F56" i="10"/>
  <c r="E56" i="10"/>
  <c r="D56" i="10"/>
  <c r="K55" i="10"/>
  <c r="J55" i="10"/>
  <c r="I55" i="10"/>
  <c r="H55" i="10"/>
  <c r="G55" i="10"/>
  <c r="F55" i="10"/>
  <c r="E55" i="10"/>
  <c r="D55" i="10"/>
  <c r="C55" i="10"/>
  <c r="K49" i="10"/>
  <c r="J49" i="10"/>
  <c r="I49" i="10"/>
  <c r="H49" i="10"/>
  <c r="G49" i="10"/>
  <c r="F49" i="10"/>
  <c r="E49" i="10"/>
  <c r="D49" i="10"/>
  <c r="C49" i="10"/>
  <c r="K46" i="10"/>
  <c r="J46" i="10"/>
  <c r="I46" i="10"/>
  <c r="H46" i="10"/>
  <c r="G46" i="10"/>
  <c r="F46" i="10"/>
  <c r="E46" i="10"/>
  <c r="D46" i="10"/>
  <c r="C46" i="10"/>
  <c r="K40" i="10"/>
  <c r="J40" i="10"/>
  <c r="I40" i="10"/>
  <c r="H40" i="10"/>
  <c r="G40" i="10"/>
  <c r="F40" i="10"/>
  <c r="E40" i="10"/>
  <c r="D40" i="10"/>
  <c r="K39" i="10"/>
  <c r="J39" i="10"/>
  <c r="I39" i="10"/>
  <c r="H39" i="10"/>
  <c r="G39" i="10"/>
  <c r="F39" i="10"/>
  <c r="E39" i="10"/>
  <c r="D39" i="10"/>
  <c r="C39" i="10"/>
  <c r="K38" i="10"/>
  <c r="J38" i="10"/>
  <c r="I38" i="10"/>
  <c r="H38" i="10"/>
  <c r="G38" i="10"/>
  <c r="F38" i="10"/>
  <c r="E38" i="10"/>
  <c r="D38" i="10"/>
  <c r="C38" i="10"/>
  <c r="K35" i="10"/>
  <c r="J35" i="10"/>
  <c r="I35" i="10"/>
  <c r="H35" i="10"/>
  <c r="G35" i="10"/>
  <c r="F35" i="10"/>
  <c r="E35" i="10"/>
  <c r="D35" i="10"/>
  <c r="K34" i="10"/>
  <c r="J34" i="10"/>
  <c r="I34" i="10"/>
  <c r="H34" i="10"/>
  <c r="G34" i="10"/>
  <c r="F34" i="10"/>
  <c r="E34" i="10"/>
  <c r="D34" i="10"/>
  <c r="C34" i="10"/>
  <c r="K27" i="10"/>
  <c r="J27" i="10"/>
  <c r="I27" i="10"/>
  <c r="H27" i="10"/>
  <c r="G27" i="10"/>
  <c r="F27" i="10"/>
  <c r="E27" i="10"/>
  <c r="D27" i="10"/>
  <c r="K26" i="10"/>
  <c r="J26" i="10"/>
  <c r="I26" i="10"/>
  <c r="H26" i="10"/>
  <c r="G26" i="10"/>
  <c r="F26" i="10"/>
  <c r="E26" i="10"/>
  <c r="D26" i="10"/>
  <c r="C26" i="10"/>
  <c r="K25" i="10"/>
  <c r="J25" i="10"/>
  <c r="I25" i="10"/>
  <c r="H25" i="10"/>
  <c r="G25" i="10"/>
  <c r="F25" i="10"/>
  <c r="E25" i="10"/>
  <c r="D25" i="10"/>
  <c r="C25" i="10"/>
  <c r="K24" i="10"/>
  <c r="J24" i="10"/>
  <c r="I24" i="10"/>
  <c r="H24" i="10"/>
  <c r="G24" i="10"/>
  <c r="F24" i="10"/>
  <c r="E24" i="10"/>
  <c r="D24" i="10"/>
  <c r="C24" i="10"/>
  <c r="K22" i="10"/>
  <c r="J22" i="10"/>
  <c r="I22" i="10"/>
  <c r="H22" i="10"/>
  <c r="G22" i="10"/>
  <c r="F22" i="10"/>
  <c r="E22" i="10"/>
  <c r="D22" i="10"/>
  <c r="C22" i="10"/>
  <c r="K20" i="10"/>
  <c r="J20" i="10"/>
  <c r="I20" i="10"/>
  <c r="H20" i="10"/>
  <c r="G20" i="10"/>
  <c r="F20" i="10"/>
  <c r="E20" i="10"/>
  <c r="D20" i="10"/>
  <c r="C20" i="10"/>
  <c r="K18" i="10"/>
  <c r="J18" i="10"/>
  <c r="I18" i="10"/>
  <c r="H18" i="10"/>
  <c r="G18" i="10"/>
  <c r="F18" i="10"/>
  <c r="E18" i="10"/>
  <c r="D18" i="10"/>
  <c r="C18" i="10"/>
  <c r="K13" i="10"/>
  <c r="J13" i="10"/>
  <c r="I13" i="10"/>
  <c r="I14" i="10" s="1"/>
  <c r="H13" i="10"/>
  <c r="H15" i="10" s="1"/>
  <c r="G13" i="10"/>
  <c r="F13" i="10"/>
  <c r="G15" i="10" s="1"/>
  <c r="E13" i="10"/>
  <c r="D13" i="10"/>
  <c r="D15" i="10" s="1"/>
  <c r="C13" i="10"/>
  <c r="C14" i="10" s="1"/>
  <c r="K15" i="10"/>
  <c r="F15" i="10"/>
  <c r="E15" i="10"/>
  <c r="K14" i="10"/>
  <c r="J14" i="10"/>
  <c r="H14" i="10"/>
  <c r="G14" i="10"/>
  <c r="F14" i="10"/>
  <c r="E14" i="10"/>
  <c r="D14" i="10"/>
  <c r="K12" i="10"/>
  <c r="J12" i="10"/>
  <c r="I12" i="10"/>
  <c r="H12" i="10"/>
  <c r="G12" i="10"/>
  <c r="F12" i="10"/>
  <c r="E12" i="10"/>
  <c r="D12" i="10"/>
  <c r="C12" i="10"/>
  <c r="K10" i="10"/>
  <c r="K7" i="10"/>
  <c r="J7" i="10"/>
  <c r="J10" i="10" s="1"/>
  <c r="I7" i="10"/>
  <c r="I10" i="10" s="1"/>
  <c r="H7" i="10"/>
  <c r="H10" i="10" s="1"/>
  <c r="G7" i="10"/>
  <c r="G10" i="10" s="1"/>
  <c r="F7" i="10"/>
  <c r="F10" i="10" s="1"/>
  <c r="E7" i="10"/>
  <c r="E10" i="10" s="1"/>
  <c r="D7" i="10"/>
  <c r="D10" i="10" s="1"/>
  <c r="C7" i="10"/>
  <c r="C10" i="10" s="1"/>
  <c r="K5" i="10"/>
  <c r="J5" i="10"/>
  <c r="I5" i="10"/>
  <c r="H5" i="10"/>
  <c r="G5" i="10"/>
  <c r="F5" i="10"/>
  <c r="E5" i="10"/>
  <c r="D5" i="10"/>
  <c r="J51" i="9"/>
  <c r="I51" i="9"/>
  <c r="H51" i="9"/>
  <c r="G51" i="9"/>
  <c r="F51" i="9"/>
  <c r="E51" i="9"/>
  <c r="J50" i="9"/>
  <c r="I50" i="9"/>
  <c r="H50" i="9"/>
  <c r="G50" i="9"/>
  <c r="F50" i="9"/>
  <c r="E50" i="9"/>
  <c r="J42" i="9"/>
  <c r="I42" i="9"/>
  <c r="H42" i="9"/>
  <c r="G42" i="9"/>
  <c r="F42" i="9"/>
  <c r="E42" i="9"/>
  <c r="J35" i="9"/>
  <c r="I35" i="9"/>
  <c r="H35" i="9"/>
  <c r="G35" i="9"/>
  <c r="F35" i="9"/>
  <c r="E35" i="9"/>
  <c r="J32" i="9"/>
  <c r="I32" i="9"/>
  <c r="H32" i="9"/>
  <c r="G32" i="9"/>
  <c r="F32" i="9"/>
  <c r="E32" i="9"/>
  <c r="J24" i="9"/>
  <c r="I24" i="9"/>
  <c r="H24" i="9"/>
  <c r="G24" i="9"/>
  <c r="F24" i="9"/>
  <c r="E24" i="9"/>
  <c r="J22" i="9"/>
  <c r="I22" i="9"/>
  <c r="H22" i="9"/>
  <c r="G22" i="9"/>
  <c r="F22" i="9"/>
  <c r="E22" i="9"/>
  <c r="J12" i="9"/>
  <c r="I12" i="9"/>
  <c r="H12" i="9"/>
  <c r="G12" i="9"/>
  <c r="G14" i="9" s="1"/>
  <c r="F12" i="9"/>
  <c r="F14" i="9" s="1"/>
  <c r="E12" i="9"/>
  <c r="J14" i="9"/>
  <c r="I14" i="9"/>
  <c r="H14" i="9"/>
  <c r="E14" i="9"/>
  <c r="J6" i="9"/>
  <c r="I6" i="9"/>
  <c r="H6" i="9"/>
  <c r="G6" i="9"/>
  <c r="F6" i="9"/>
  <c r="E6" i="9"/>
  <c r="J40" i="8"/>
  <c r="I40" i="8"/>
  <c r="H40" i="8"/>
  <c r="G40" i="8"/>
  <c r="F40" i="8"/>
  <c r="F37" i="8"/>
  <c r="G37" i="8"/>
  <c r="H37" i="8"/>
  <c r="I37" i="8"/>
  <c r="J37" i="8"/>
  <c r="J26" i="8"/>
  <c r="I26" i="8"/>
  <c r="H26" i="8"/>
  <c r="G26" i="8"/>
  <c r="F26" i="8"/>
  <c r="J25" i="8"/>
  <c r="I25" i="8"/>
  <c r="H25" i="8"/>
  <c r="F25" i="8"/>
  <c r="G25" i="8"/>
  <c r="J12" i="8"/>
  <c r="I12" i="8"/>
  <c r="H12" i="8"/>
  <c r="G12" i="8"/>
  <c r="F12" i="8"/>
  <c r="F55" i="1"/>
  <c r="F54" i="1"/>
  <c r="F44" i="1"/>
  <c r="F43" i="1"/>
  <c r="F31" i="1"/>
  <c r="F32" i="1"/>
  <c r="D53" i="2"/>
  <c r="D52" i="2"/>
  <c r="D50" i="2"/>
  <c r="D49" i="2"/>
  <c r="D36" i="2"/>
  <c r="D35" i="2"/>
  <c r="D18" i="2"/>
  <c r="D17" i="2"/>
  <c r="M9" i="3"/>
  <c r="M15" i="3" s="1"/>
  <c r="L9" i="3"/>
  <c r="L15" i="3" s="1"/>
  <c r="K9" i="3"/>
  <c r="K15" i="3" s="1"/>
  <c r="J9" i="3"/>
  <c r="J15" i="3" s="1"/>
  <c r="I9" i="3"/>
  <c r="I15" i="3" s="1"/>
  <c r="H9" i="3"/>
  <c r="H15" i="3" s="1"/>
  <c r="G9" i="3"/>
  <c r="G15" i="3" s="1"/>
  <c r="F9" i="3"/>
  <c r="F15" i="3" s="1"/>
  <c r="E9" i="3"/>
  <c r="E10" i="3" s="1"/>
  <c r="D9" i="3"/>
  <c r="D10" i="3" s="1"/>
  <c r="C9" i="3"/>
  <c r="F38" i="7"/>
  <c r="E38" i="7"/>
  <c r="D38" i="7"/>
  <c r="C38" i="7"/>
  <c r="F37" i="7"/>
  <c r="E37" i="7"/>
  <c r="D37" i="7"/>
  <c r="C37" i="7"/>
  <c r="F34" i="7"/>
  <c r="E34" i="7"/>
  <c r="D34" i="7"/>
  <c r="F33" i="7"/>
  <c r="E33" i="7"/>
  <c r="D33" i="7"/>
  <c r="C33" i="7"/>
  <c r="F32" i="7"/>
  <c r="E32" i="7"/>
  <c r="D32" i="7"/>
  <c r="C32" i="7"/>
  <c r="F26" i="7"/>
  <c r="E26" i="7"/>
  <c r="D26" i="7"/>
  <c r="C24" i="7"/>
  <c r="D24" i="7"/>
  <c r="E24" i="7"/>
  <c r="F25" i="7"/>
  <c r="E25" i="7"/>
  <c r="D25" i="7"/>
  <c r="C25" i="7"/>
  <c r="F24" i="7"/>
  <c r="C23" i="7"/>
  <c r="F23" i="7"/>
  <c r="E23" i="7"/>
  <c r="D23" i="7"/>
  <c r="F21" i="7"/>
  <c r="E21" i="7"/>
  <c r="D21" i="7"/>
  <c r="C21" i="7"/>
  <c r="F19" i="7"/>
  <c r="E19" i="7"/>
  <c r="D19" i="7"/>
  <c r="C19" i="7"/>
  <c r="F17" i="7"/>
  <c r="E17" i="7"/>
  <c r="D17" i="7"/>
  <c r="C17" i="7"/>
  <c r="F14" i="7"/>
  <c r="E14" i="7"/>
  <c r="D14" i="7"/>
  <c r="F13" i="7"/>
  <c r="E13" i="7"/>
  <c r="D13" i="7"/>
  <c r="C13" i="7"/>
  <c r="F12" i="7"/>
  <c r="E12" i="7"/>
  <c r="D12" i="7"/>
  <c r="C12" i="7"/>
  <c r="F11" i="7"/>
  <c r="E11" i="7"/>
  <c r="D11" i="7"/>
  <c r="C11" i="7"/>
  <c r="F6" i="7"/>
  <c r="E6" i="7"/>
  <c r="D6" i="7"/>
  <c r="F8" i="7"/>
  <c r="E8" i="7"/>
  <c r="D8" i="7"/>
  <c r="C8" i="7"/>
  <c r="I15" i="10" l="1"/>
  <c r="J15" i="10"/>
  <c r="L16" i="3"/>
  <c r="G16" i="3"/>
  <c r="H16" i="3"/>
  <c r="I16" i="3"/>
  <c r="J16" i="3"/>
  <c r="K16" i="3"/>
  <c r="M16" i="3"/>
  <c r="M10" i="3"/>
  <c r="F10" i="3"/>
  <c r="G10" i="3"/>
  <c r="H10" i="3"/>
  <c r="I10" i="3"/>
  <c r="J10" i="3"/>
  <c r="K10" i="3"/>
  <c r="L10" i="3"/>
</calcChain>
</file>

<file path=xl/sharedStrings.xml><?xml version="1.0" encoding="utf-8"?>
<sst xmlns="http://schemas.openxmlformats.org/spreadsheetml/2006/main" count="1473" uniqueCount="533">
  <si>
    <t>Deal date</t>
  </si>
  <si>
    <t>Target</t>
  </si>
  <si>
    <t>EV</t>
  </si>
  <si>
    <t>EV/Sales</t>
  </si>
  <si>
    <t>EV/EBITDA</t>
  </si>
  <si>
    <t>EV/EBIT</t>
  </si>
  <si>
    <t>UK</t>
  </si>
  <si>
    <t>France</t>
  </si>
  <si>
    <t>USA</t>
  </si>
  <si>
    <t>Sweden</t>
  </si>
  <si>
    <t>Germany</t>
  </si>
  <si>
    <t>Average (retail)</t>
  </si>
  <si>
    <t>Median (retail)</t>
  </si>
  <si>
    <t>Retail:</t>
  </si>
  <si>
    <t>Target Country</t>
  </si>
  <si>
    <t>EV/Sa1es</t>
  </si>
  <si>
    <t>TBA</t>
  </si>
  <si>
    <t>n.a.</t>
  </si>
  <si>
    <t>United Kingdom</t>
  </si>
  <si>
    <t>-</t>
  </si>
  <si>
    <t xml:space="preserve">Wholesale: </t>
  </si>
  <si>
    <t>Easier GmbH</t>
  </si>
  <si>
    <t>Russell Corporation</t>
  </si>
  <si>
    <t>Zapa SA</t>
  </si>
  <si>
    <t>Lee Cooper Group Ltd</t>
  </si>
  <si>
    <t>Buksesnedkeren ApS</t>
  </si>
  <si>
    <t>Dimensions Holdings Ltd</t>
  </si>
  <si>
    <t xml:space="preserve">Dewhirst Corporate Clothing (DO </t>
  </si>
  <si>
    <t>Salant Corporation</t>
  </si>
  <si>
    <t>Average (wholesale)</t>
  </si>
  <si>
    <t>Median (wholesale)</t>
  </si>
  <si>
    <t xml:space="preserve">Both: </t>
  </si>
  <si>
    <t>Puma AG Rudolf Dassler Sport</t>
  </si>
  <si>
    <t>Ball Group</t>
  </si>
  <si>
    <t>Cerruti 1881 Sa</t>
  </si>
  <si>
    <t>Reebok International Ltd</t>
  </si>
  <si>
    <t>Republic Ltd</t>
  </si>
  <si>
    <t>Brandtex</t>
  </si>
  <si>
    <t>Average (all companies)</t>
  </si>
  <si>
    <t>Median (all companies)</t>
  </si>
  <si>
    <t>Company</t>
  </si>
  <si>
    <t>Country</t>
  </si>
  <si>
    <t>Average</t>
  </si>
  <si>
    <t>Median</t>
  </si>
  <si>
    <t>Other Europe</t>
  </si>
  <si>
    <t>IT</t>
  </si>
  <si>
    <t>FR</t>
  </si>
  <si>
    <t>CH</t>
  </si>
  <si>
    <t>GB</t>
  </si>
  <si>
    <t>ES</t>
  </si>
  <si>
    <t>GR</t>
  </si>
  <si>
    <t>International</t>
  </si>
  <si>
    <t>US</t>
  </si>
  <si>
    <t>HK</t>
  </si>
  <si>
    <t>Free cash flow</t>
  </si>
  <si>
    <t>Turnover</t>
  </si>
  <si>
    <t>+ EBIT</t>
  </si>
  <si>
    <t>+ Goodwill amortisation</t>
  </si>
  <si>
    <t>+ Change in deferred tax</t>
  </si>
  <si>
    <t>- Calculated tax</t>
  </si>
  <si>
    <t>= NOPLAT</t>
  </si>
  <si>
    <t>Growth in NOPLAT</t>
  </si>
  <si>
    <t>+ Depreciation</t>
  </si>
  <si>
    <t>- Investments</t>
  </si>
  <si>
    <t>+/- change in net working capital</t>
  </si>
  <si>
    <t>= Free cash flow</t>
  </si>
  <si>
    <t>Growth in free cash flow</t>
  </si>
  <si>
    <t>Return on new investment</t>
  </si>
  <si>
    <t>Helpline for discounting</t>
  </si>
  <si>
    <t>Discount factor</t>
  </si>
  <si>
    <t>Net present value of free cash flow</t>
  </si>
  <si>
    <t>Accumulated net present value of free cash flow</t>
  </si>
  <si>
    <t>Value calculation</t>
  </si>
  <si>
    <t>Val.driv.</t>
  </si>
  <si>
    <t>Gord. G.</t>
  </si>
  <si>
    <t>Net present value of cash flow in the budget period</t>
  </si>
  <si>
    <t>Net present value of cash flow in the terminal period</t>
  </si>
  <si>
    <t>Total value of invested capital</t>
  </si>
  <si>
    <t>Value distribution</t>
  </si>
  <si>
    <t>Budget pe</t>
  </si>
  <si>
    <t>Terminal p</t>
  </si>
  <si>
    <t>Total</t>
  </si>
  <si>
    <t>Calculation of cost of capital</t>
  </si>
  <si>
    <t>Risk free rate</t>
  </si>
  <si>
    <t>Market risk premium</t>
  </si>
  <si>
    <t>Small cap. premium</t>
  </si>
  <si>
    <t>Cost of equity</t>
  </si>
  <si>
    <t>Risk premium on debt</t>
  </si>
  <si>
    <t>Tax rate</t>
  </si>
  <si>
    <t>Cost of debt after tax</t>
  </si>
  <si>
    <t>Long term equity ratio</t>
  </si>
  <si>
    <t>Long term debt ratio</t>
  </si>
  <si>
    <t>WACC</t>
  </si>
  <si>
    <t>Implied EBITA chg.</t>
  </si>
  <si>
    <t>0R</t>
  </si>
  <si>
    <t>IRR</t>
  </si>
  <si>
    <t>EV/EBITA</t>
  </si>
  <si>
    <t>Exit-multiple</t>
  </si>
  <si>
    <t>3R</t>
  </si>
  <si>
    <t>3.1x</t>
  </si>
  <si>
    <t>Base case</t>
  </si>
  <si>
    <t>CAGR</t>
  </si>
  <si>
    <t>Salary</t>
  </si>
  <si>
    <t>Fixed cost</t>
  </si>
  <si>
    <t>Key figures</t>
  </si>
  <si>
    <t>EBITDA margin</t>
  </si>
  <si>
    <t>EBITA margin</t>
  </si>
  <si>
    <t>Return</t>
  </si>
  <si>
    <t>Pre "kick-back"</t>
  </si>
  <si>
    <t>Money-x</t>
  </si>
  <si>
    <t>Post "kick-back"</t>
  </si>
  <si>
    <t>Profit &amp; loss statement</t>
  </si>
  <si>
    <t>EUR M</t>
  </si>
  <si>
    <t>Growth turnover</t>
  </si>
  <si>
    <t>Other income</t>
  </si>
  <si>
    <t>Total turnover</t>
  </si>
  <si>
    <t>COGS</t>
  </si>
  <si>
    <t>In % of total turnover</t>
  </si>
  <si>
    <t>Gross profit</t>
  </si>
  <si>
    <t>Growth in Gross profit</t>
  </si>
  <si>
    <t>Salaries</t>
  </si>
  <si>
    <t>SG&amp;A</t>
  </si>
  <si>
    <t>Increased cost base (HQ costs)</t>
  </si>
  <si>
    <t>HQ cost reserve</t>
  </si>
  <si>
    <t>EBITDA</t>
  </si>
  <si>
    <t>Growth in EBITDA</t>
  </si>
  <si>
    <t>Depreciation other intangible assets</t>
  </si>
  <si>
    <t>Depreciation in % of other intangible assets at year begin</t>
  </si>
  <si>
    <t>Depreciation tangible fixed assets</t>
  </si>
  <si>
    <t>Depreciation in % of tangible fixed assets at year begin</t>
  </si>
  <si>
    <t>EBITA</t>
  </si>
  <si>
    <t>Growth in EBITA</t>
  </si>
  <si>
    <t>Goodwill amortisation</t>
  </si>
  <si>
    <t>EBIT</t>
  </si>
  <si>
    <t>2021R</t>
  </si>
  <si>
    <t>2022E</t>
  </si>
  <si>
    <t>2020R</t>
  </si>
  <si>
    <t>2019R</t>
  </si>
  <si>
    <t>2020/21</t>
  </si>
  <si>
    <t>2019/20</t>
  </si>
  <si>
    <t>2018/19</t>
  </si>
  <si>
    <t>2021/22</t>
  </si>
  <si>
    <t>Beta. unlevered</t>
  </si>
  <si>
    <t>Beta. levered</t>
  </si>
  <si>
    <t>2018R</t>
  </si>
  <si>
    <t>2022F</t>
  </si>
  <si>
    <t>2023F</t>
  </si>
  <si>
    <t>2024F</t>
  </si>
  <si>
    <t>2025F</t>
  </si>
  <si>
    <t>2026F</t>
  </si>
  <si>
    <t>2027F</t>
  </si>
  <si>
    <t>2028F</t>
  </si>
  <si>
    <t>2029F</t>
  </si>
  <si>
    <t>[Target]'s cost of capital</t>
  </si>
  <si>
    <t>21R</t>
  </si>
  <si>
    <t>22E</t>
  </si>
  <si>
    <t>23E</t>
  </si>
  <si>
    <t>24E</t>
  </si>
  <si>
    <t>1.7x</t>
  </si>
  <si>
    <t>1.5x</t>
  </si>
  <si>
    <t>1.3x</t>
  </si>
  <si>
    <t>1.1x</t>
  </si>
  <si>
    <t>11.6x</t>
  </si>
  <si>
    <t>10.1x</t>
  </si>
  <si>
    <t>8.8x</t>
  </si>
  <si>
    <t>7.4x</t>
  </si>
  <si>
    <t>13.2x</t>
  </si>
  <si>
    <t>11.4x</t>
  </si>
  <si>
    <t>10.0x</t>
  </si>
  <si>
    <t>8.5x</t>
  </si>
  <si>
    <t>1.2x</t>
  </si>
  <si>
    <t>1.0x</t>
  </si>
  <si>
    <t>0.9x</t>
  </si>
  <si>
    <t>7.8x</t>
  </si>
  <si>
    <t>8.1x</t>
  </si>
  <si>
    <t>6.2x</t>
  </si>
  <si>
    <t>5.5x</t>
  </si>
  <si>
    <t>8.7x</t>
  </si>
  <si>
    <t>9.5x</t>
  </si>
  <si>
    <t>7.1x</t>
  </si>
  <si>
    <t>3.7x</t>
  </si>
  <si>
    <t>3.2x</t>
  </si>
  <si>
    <t>2.8x</t>
  </si>
  <si>
    <t>2.5x</t>
  </si>
  <si>
    <t>14.9x</t>
  </si>
  <si>
    <t>12.4x</t>
  </si>
  <si>
    <t>10.9x</t>
  </si>
  <si>
    <t>16.4x</t>
  </si>
  <si>
    <t>13.7x</t>
  </si>
  <si>
    <t>12.0x</t>
  </si>
  <si>
    <t>10.5x</t>
  </si>
  <si>
    <t>11.5x</t>
  </si>
  <si>
    <t>7.6x</t>
  </si>
  <si>
    <t>14.8x</t>
  </si>
  <si>
    <t>11.0x</t>
  </si>
  <si>
    <t>9.4x</t>
  </si>
  <si>
    <t>6.1x</t>
  </si>
  <si>
    <t>5.6x</t>
  </si>
  <si>
    <t>5.2x</t>
  </si>
  <si>
    <t>7.3x</t>
  </si>
  <si>
    <t>7.0x</t>
  </si>
  <si>
    <t>0.4x</t>
  </si>
  <si>
    <t>0.3x</t>
  </si>
  <si>
    <t>6.9x</t>
  </si>
  <si>
    <t>6.5x</t>
  </si>
  <si>
    <t>11.7x</t>
  </si>
  <si>
    <t>1.6x</t>
  </si>
  <si>
    <t>1.4x</t>
  </si>
  <si>
    <t>11.1x</t>
  </si>
  <si>
    <t>12.7x</t>
  </si>
  <si>
    <t>8.3x</t>
  </si>
  <si>
    <t>17.2x</t>
  </si>
  <si>
    <t>10.2x</t>
  </si>
  <si>
    <t>12.8x</t>
  </si>
  <si>
    <t>11.9x</t>
  </si>
  <si>
    <t>9.6x</t>
  </si>
  <si>
    <t>8.9x</t>
  </si>
  <si>
    <t>13.4x</t>
  </si>
  <si>
    <t>10.3x</t>
  </si>
  <si>
    <t>14.5x</t>
  </si>
  <si>
    <t>9.2x</t>
  </si>
  <si>
    <t>16.2x</t>
  </si>
  <si>
    <t>12.2x</t>
  </si>
  <si>
    <t>1.8x</t>
  </si>
  <si>
    <t>0.8x</t>
  </si>
  <si>
    <t>0.7x</t>
  </si>
  <si>
    <t>8.0x</t>
  </si>
  <si>
    <t>9.8x</t>
  </si>
  <si>
    <t>6.6x</t>
  </si>
  <si>
    <t>5.7x</t>
  </si>
  <si>
    <t>15.8x</t>
  </si>
  <si>
    <t>8.4x</t>
  </si>
  <si>
    <t>7.2x</t>
  </si>
  <si>
    <t>9.7x</t>
  </si>
  <si>
    <t>13.6x</t>
  </si>
  <si>
    <t>14.3x</t>
  </si>
  <si>
    <t>6.0x</t>
  </si>
  <si>
    <t>11.8x</t>
  </si>
  <si>
    <t>9.3x</t>
  </si>
  <si>
    <t>8.6x</t>
  </si>
  <si>
    <t>7.9x</t>
  </si>
  <si>
    <t>2.4x</t>
  </si>
  <si>
    <t>2.1x</t>
  </si>
  <si>
    <t>1.9x</t>
  </si>
  <si>
    <t>7.5x</t>
  </si>
  <si>
    <t>6.7x</t>
  </si>
  <si>
    <t>9.0x</t>
  </si>
  <si>
    <t>0.6x</t>
  </si>
  <si>
    <t>5.4x</t>
  </si>
  <si>
    <t>5.0x</t>
  </si>
  <si>
    <t>0.2x</t>
  </si>
  <si>
    <t>4.8x</t>
  </si>
  <si>
    <t>4.1x</t>
  </si>
  <si>
    <t>0.5x</t>
  </si>
  <si>
    <t>4.6x</t>
  </si>
  <si>
    <t>3.8x</t>
  </si>
  <si>
    <t>3.3x</t>
  </si>
  <si>
    <t>6.8x</t>
  </si>
  <si>
    <t>5.1x</t>
  </si>
  <si>
    <t>3.6x</t>
  </si>
  <si>
    <t>3.5x</t>
  </si>
  <si>
    <t>3.9x</t>
  </si>
  <si>
    <t>3.0x</t>
  </si>
  <si>
    <t>2.7x</t>
  </si>
  <si>
    <t>19.9x</t>
  </si>
  <si>
    <t>14.7x</t>
  </si>
  <si>
    <t>5.3x</t>
  </si>
  <si>
    <t>6.4x</t>
  </si>
  <si>
    <t>6.3x</t>
  </si>
  <si>
    <t>4.5x</t>
  </si>
  <si>
    <t>15.2x</t>
  </si>
  <si>
    <t>8.2x</t>
  </si>
  <si>
    <t>2.9x</t>
  </si>
  <si>
    <t>17.6x</t>
  </si>
  <si>
    <t>5.9x</t>
  </si>
  <si>
    <t>5.8x</t>
  </si>
  <si>
    <t>12.1x</t>
  </si>
  <si>
    <t>4.9x</t>
  </si>
  <si>
    <t>11.2x</t>
  </si>
  <si>
    <t>9.1x</t>
  </si>
  <si>
    <t>2.3x</t>
  </si>
  <si>
    <t>2.0x</t>
  </si>
  <si>
    <t>15.5x</t>
  </si>
  <si>
    <t>0.1x</t>
  </si>
  <si>
    <t>17.0x</t>
  </si>
  <si>
    <t>13.3x</t>
  </si>
  <si>
    <t>18.7x</t>
  </si>
  <si>
    <t>14.4x</t>
  </si>
  <si>
    <t>4.0x</t>
  </si>
  <si>
    <t>10.4x</t>
  </si>
  <si>
    <t>Benelux</t>
  </si>
  <si>
    <t>BE</t>
  </si>
  <si>
    <t>NE</t>
  </si>
  <si>
    <t>LU</t>
  </si>
  <si>
    <t>[RetailCo]</t>
  </si>
  <si>
    <t>Peers</t>
  </si>
  <si>
    <t>Comprable transactions</t>
  </si>
  <si>
    <t>8.5x-10x</t>
  </si>
  <si>
    <t>14.2x</t>
  </si>
  <si>
    <t>19.2x</t>
  </si>
  <si>
    <t>12.6x</t>
  </si>
  <si>
    <t>10.6x</t>
  </si>
  <si>
    <t>12.3x</t>
  </si>
  <si>
    <t>10.7x</t>
  </si>
  <si>
    <t>24.8x</t>
  </si>
  <si>
    <t>14.6x</t>
  </si>
  <si>
    <t>11.3x</t>
  </si>
  <si>
    <t>15.0x</t>
  </si>
  <si>
    <t>10.8x</t>
  </si>
  <si>
    <t>13.8x</t>
  </si>
  <si>
    <t>16.1x</t>
  </si>
  <si>
    <t>16.3x</t>
  </si>
  <si>
    <t>4.4x</t>
  </si>
  <si>
    <t>18.5x</t>
  </si>
  <si>
    <t>13.0x</t>
  </si>
  <si>
    <t>14.1x</t>
  </si>
  <si>
    <t>19.7x</t>
  </si>
  <si>
    <t>15.3x</t>
  </si>
  <si>
    <t>18.9x</t>
  </si>
  <si>
    <t>7.7x</t>
  </si>
  <si>
    <t>20.4x</t>
  </si>
  <si>
    <t>20.7x</t>
  </si>
  <si>
    <t>9.9x</t>
  </si>
  <si>
    <t>N/A</t>
  </si>
  <si>
    <t>03-09-2021</t>
  </si>
  <si>
    <t>29-11-2021</t>
  </si>
  <si>
    <t>18-01-2022</t>
  </si>
  <si>
    <t>03-07-2021</t>
  </si>
  <si>
    <t>25-01-2021</t>
  </si>
  <si>
    <t>18-12-2020</t>
  </si>
  <si>
    <t>17-07-2020</t>
  </si>
  <si>
    <t>02-08-2020</t>
  </si>
  <si>
    <t>30-06-2020</t>
  </si>
  <si>
    <t>15-12-2020</t>
  </si>
  <si>
    <t>01-08-2020</t>
  </si>
  <si>
    <t>31-01-2020</t>
  </si>
  <si>
    <t>01-11-2019</t>
  </si>
  <si>
    <t>06-10-2019</t>
  </si>
  <si>
    <t>14-07-2019</t>
  </si>
  <si>
    <t>31-01-2019</t>
  </si>
  <si>
    <t>04-05-2019</t>
  </si>
  <si>
    <t>19-10-2019</t>
  </si>
  <si>
    <t>16-05-2019</t>
  </si>
  <si>
    <t>15-11-2018</t>
  </si>
  <si>
    <t>31-10-2018</t>
  </si>
  <si>
    <t>25-10-2018</t>
  </si>
  <si>
    <t>11-06-2018</t>
  </si>
  <si>
    <t>05-04-2018</t>
  </si>
  <si>
    <t>15-07-2018</t>
  </si>
  <si>
    <t>04-01-2018</t>
  </si>
  <si>
    <t>27-08-2017</t>
  </si>
  <si>
    <t>14-01-2017</t>
  </si>
  <si>
    <t>19-06-2017</t>
  </si>
  <si>
    <t>18-11-2016</t>
  </si>
  <si>
    <t>10-10-2016</t>
  </si>
  <si>
    <t>24-06-2016</t>
  </si>
  <si>
    <t>11-07-2021</t>
  </si>
  <si>
    <t>31-05-2020</t>
  </si>
  <si>
    <t>Netherlands</t>
  </si>
  <si>
    <t>Belgium</t>
  </si>
  <si>
    <t>[Acquirer]</t>
  </si>
  <si>
    <t>Acquirer</t>
  </si>
  <si>
    <t>Drivers</t>
  </si>
  <si>
    <t>Sensitivity on market growth (absolute)</t>
  </si>
  <si>
    <t>Organic market growth</t>
  </si>
  <si>
    <t>Total growth (incl. new stores and sales synergies)</t>
  </si>
  <si>
    <t>Number of new stores</t>
  </si>
  <si>
    <t>2.6x</t>
  </si>
  <si>
    <t>2.2x</t>
  </si>
  <si>
    <t>2021/22-26/27</t>
  </si>
  <si>
    <t>Acc. capex</t>
  </si>
  <si>
    <t>Sales (2026/27)</t>
  </si>
  <si>
    <t>EBITDA (2026/27)</t>
  </si>
  <si>
    <t>EBITA (2026/27)</t>
  </si>
  <si>
    <t>21/22</t>
  </si>
  <si>
    <t>26/27</t>
  </si>
  <si>
    <t>50% of cost/revenue improvement in base case (0.5 ppt on 26/27 rev.)</t>
  </si>
  <si>
    <t>Equal to base case i.e., no adjustments</t>
  </si>
  <si>
    <t>Absolute return/ 
Pay back multiple</t>
  </si>
  <si>
    <t>3.4x</t>
  </si>
  <si>
    <t>Implied EBITA change</t>
  </si>
  <si>
    <t>EBITA sensitivity (EUR M)</t>
  </si>
  <si>
    <t>Cha. gross profit (%-ppt)</t>
  </si>
  <si>
    <t>Sensitivity analysis</t>
  </si>
  <si>
    <t>Cash and securities ultimo</t>
  </si>
  <si>
    <t>Cash and securities primo</t>
  </si>
  <si>
    <t>Change in IBD</t>
  </si>
  <si>
    <t>Cash acquired</t>
  </si>
  <si>
    <t>IBD acquired company</t>
  </si>
  <si>
    <t>New IBD acquistion</t>
  </si>
  <si>
    <t>Adjustment retained profit (issue etc.)</t>
  </si>
  <si>
    <t>Change in equity</t>
  </si>
  <si>
    <t>Increase in share capital</t>
  </si>
  <si>
    <t>Dividends paid to minorities</t>
  </si>
  <si>
    <t>Dividends paid</t>
  </si>
  <si>
    <t>Cash flow before financing</t>
  </si>
  <si>
    <t>Cash flow from investments</t>
  </si>
  <si>
    <t>Investment in financial fixed assets</t>
  </si>
  <si>
    <t>Investment in tangible fixed assets in % of turnover</t>
  </si>
  <si>
    <t>Turnover ratio tangible fixed assets</t>
  </si>
  <si>
    <t>Investment in tangible fixed assets</t>
  </si>
  <si>
    <t>Turnover ratio other intangible fixed assets</t>
  </si>
  <si>
    <t>Investment in other intangible fixed assets</t>
  </si>
  <si>
    <t>Investment in intangible fixed assets (Goodwill)</t>
  </si>
  <si>
    <t>Acquisitions (net)</t>
  </si>
  <si>
    <t>Cash flow from operations</t>
  </si>
  <si>
    <t>Change in provisions</t>
  </si>
  <si>
    <t>Change in working capital</t>
  </si>
  <si>
    <t>Result in associated companies (not received as dividend)</t>
  </si>
  <si>
    <t>Tax paid</t>
  </si>
  <si>
    <t>Pretax profit</t>
  </si>
  <si>
    <t xml:space="preserve">Cash flow statement </t>
  </si>
  <si>
    <t>2017/18</t>
  </si>
  <si>
    <t>2016/17</t>
  </si>
  <si>
    <t>2015/16</t>
  </si>
  <si>
    <t>2014/15</t>
  </si>
  <si>
    <t>2015R</t>
  </si>
  <si>
    <t>2016R</t>
  </si>
  <si>
    <t>2017R</t>
  </si>
  <si>
    <t>2018F</t>
  </si>
  <si>
    <t>2019F</t>
  </si>
  <si>
    <t>2020F</t>
  </si>
  <si>
    <t>2021F</t>
  </si>
  <si>
    <t>293.45x</t>
  </si>
  <si>
    <t>205.68x</t>
  </si>
  <si>
    <t>162.34x</t>
  </si>
  <si>
    <t>136.37x</t>
  </si>
  <si>
    <t>115.22x</t>
  </si>
  <si>
    <t>11.83x</t>
  </si>
  <si>
    <t>9.47x</t>
  </si>
  <si>
    <t>9.10x</t>
  </si>
  <si>
    <t>9.86x</t>
  </si>
  <si>
    <t>11.31x</t>
  </si>
  <si>
    <t>Changed in liquidity and securities</t>
  </si>
  <si>
    <t>Investment in other tangible fixed assets in % of turnover</t>
  </si>
  <si>
    <t>Total liabilities</t>
  </si>
  <si>
    <t>Total debt</t>
  </si>
  <si>
    <t>Other non-interest bearing debt</t>
  </si>
  <si>
    <t>Trade creditors</t>
  </si>
  <si>
    <t>Interest bearing debt</t>
  </si>
  <si>
    <t>Total provisions</t>
  </si>
  <si>
    <t>Other provisions</t>
  </si>
  <si>
    <t>Provision for pension liabilities</t>
  </si>
  <si>
    <t>Provision for deferred tax</t>
  </si>
  <si>
    <t>Provision for guarantees</t>
  </si>
  <si>
    <t>Total shareholders equity</t>
  </si>
  <si>
    <t>Minorities</t>
  </si>
  <si>
    <t>Shareholders equity</t>
  </si>
  <si>
    <t>Retained profit</t>
  </si>
  <si>
    <t>Equity reserve</t>
  </si>
  <si>
    <t>Non distributable reserve</t>
  </si>
  <si>
    <t>Share capital</t>
  </si>
  <si>
    <t>Liabilities</t>
  </si>
  <si>
    <t>Total assets</t>
  </si>
  <si>
    <t>Total current assets</t>
  </si>
  <si>
    <t>Cash</t>
  </si>
  <si>
    <t>Other non working capital</t>
  </si>
  <si>
    <t>Receivable</t>
  </si>
  <si>
    <t>Stock</t>
  </si>
  <si>
    <t>Total fixed assets</t>
  </si>
  <si>
    <t>Financial fixed assets</t>
  </si>
  <si>
    <t>Deposits</t>
  </si>
  <si>
    <t>Shares in associated companies</t>
  </si>
  <si>
    <t>Tangible fixed assets</t>
  </si>
  <si>
    <t>Intangible fixed assets</t>
  </si>
  <si>
    <t>Other intangible assets</t>
  </si>
  <si>
    <t>Goodwill</t>
  </si>
  <si>
    <t>Assets</t>
  </si>
  <si>
    <t>Dividends. due</t>
  </si>
  <si>
    <t>Payout ratio</t>
  </si>
  <si>
    <t>Dividends</t>
  </si>
  <si>
    <t>Growth in Net income</t>
  </si>
  <si>
    <t>Net income</t>
  </si>
  <si>
    <t>In % of pretax profit</t>
  </si>
  <si>
    <t>In % of pretax profit (adjusted for goodwill depreciation)</t>
  </si>
  <si>
    <t>Tax on pretax profit</t>
  </si>
  <si>
    <t>Extraordinary items</t>
  </si>
  <si>
    <t>Result before extraordinary items</t>
  </si>
  <si>
    <t>Interest expenses in % of average interest bearing debt</t>
  </si>
  <si>
    <t>Interest expenses</t>
  </si>
  <si>
    <t>Interest income in % of average cash</t>
  </si>
  <si>
    <t>Interest income</t>
  </si>
  <si>
    <t>Growth in EBIT</t>
  </si>
  <si>
    <t>Depreciation in % of fixed assets at year begin</t>
  </si>
  <si>
    <t>Synergies</t>
  </si>
  <si>
    <t>2022/23</t>
  </si>
  <si>
    <t>Growth in Turnover</t>
  </si>
  <si>
    <t>Goodwill amortization</t>
  </si>
  <si>
    <t>Holding period</t>
  </si>
  <si>
    <t>Gross IRR</t>
  </si>
  <si>
    <t>NWC in % of turnover</t>
  </si>
  <si>
    <t xml:space="preserve">Pre goodwill ROIC* </t>
  </si>
  <si>
    <t xml:space="preserve">Ratios </t>
  </si>
  <si>
    <t>Pre-tax</t>
  </si>
  <si>
    <t>Invested Capital</t>
  </si>
  <si>
    <t>Net interest bearing debt</t>
  </si>
  <si>
    <t>Equity</t>
  </si>
  <si>
    <t>Net working capital</t>
  </si>
  <si>
    <t>Growth</t>
  </si>
  <si>
    <t>Financials</t>
  </si>
  <si>
    <t>2026/27F</t>
  </si>
  <si>
    <t>2025/26F</t>
  </si>
  <si>
    <t>2024/25F</t>
  </si>
  <si>
    <t>2023/24F</t>
  </si>
  <si>
    <t>2022/23F</t>
  </si>
  <si>
    <t>2021/22F</t>
  </si>
  <si>
    <t>2020/21E</t>
  </si>
  <si>
    <t>2019/20R</t>
  </si>
  <si>
    <t>2018/19R</t>
  </si>
  <si>
    <t>CAGR 21/22-26/27</t>
  </si>
  <si>
    <t>Total funding</t>
  </si>
  <si>
    <t>Acquisition debt</t>
  </si>
  <si>
    <t>Vendor finance</t>
  </si>
  <si>
    <t>Target net debt</t>
  </si>
  <si>
    <t>Total equity</t>
  </si>
  <si>
    <t>Incentive</t>
  </si>
  <si>
    <t>Sellers reinvestment</t>
  </si>
  <si>
    <t>Sources of cash</t>
  </si>
  <si>
    <t>Total funding need</t>
  </si>
  <si>
    <t>Transaction costs (after tax)</t>
  </si>
  <si>
    <t>Adjusted acquisition EV</t>
  </si>
  <si>
    <t>Minority Interest</t>
  </si>
  <si>
    <t>Acquired interest bearing debt</t>
  </si>
  <si>
    <t>Enterprise value</t>
  </si>
  <si>
    <t>Acquired cash</t>
  </si>
  <si>
    <t>Implied multiples</t>
  </si>
  <si>
    <t>Acquisition price. Equity</t>
  </si>
  <si>
    <t>Acquisition. Enterprise value</t>
  </si>
  <si>
    <t>2021/22R</t>
  </si>
  <si>
    <t>Cash flow from 30/9/21 until closing</t>
  </si>
  <si>
    <t>(~30 M) + valuation impact on future rent reductions</t>
  </si>
  <si>
    <t>Equity. [Buyer]</t>
  </si>
  <si>
    <t>Equity. [PE Firm 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</si>
</sst>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#,##0.0"/>
  </numFmts>
  <fonts count="37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b/>
      <sz val="10"/>
      <name val="Century Gothic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7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theme="0" tint="-0.34998626667073579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7"/>
      <name val="Arial"/>
      <family val="2"/>
    </font>
    <font>
      <sz val="8"/>
      <color theme="0" tint="-0.3499862666707357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sz val="10"/>
      <name val="Arial"/>
      <family val="2"/>
      <scheme val="minor"/>
    </font>
    <font>
      <u/>
      <sz val="10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sz val="8"/>
      <color theme="0" tint="-0.249977111117893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8"/>
      <color theme="0" tint="-0.34998626667073579"/>
      <name val="Arial"/>
      <family val="2"/>
    </font>
    <font>
      <sz val="10"/>
      <color theme="0"/>
      <name val="Arial"/>
      <family val="2"/>
    </font>
    <font>
      <sz val="10"/>
      <color theme="0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ashDotDot">
        <color indexed="64"/>
      </right>
      <top/>
      <bottom style="thin">
        <color indexed="64"/>
      </bottom>
      <diagonal/>
    </border>
    <border>
      <left/>
      <right style="dashDotDot">
        <color indexed="64"/>
      </right>
      <top/>
      <bottom/>
      <diagonal/>
    </border>
    <border>
      <left/>
      <right/>
      <top/>
      <bottom style="dashDotDot">
        <color auto="1"/>
      </bottom>
      <diagonal/>
    </border>
    <border>
      <left/>
      <right style="dashDotDot">
        <color indexed="64"/>
      </right>
      <top/>
      <bottom style="dashDotDot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/>
      <right/>
      <top/>
      <bottom style="mediumDashed">
        <color indexed="64"/>
      </bottom>
      <diagonal/>
    </border>
    <border>
      <left style="mediumDashed">
        <color auto="1"/>
      </left>
      <right/>
      <top/>
      <bottom style="mediumDashed">
        <color indexed="64"/>
      </bottom>
      <diagonal/>
    </border>
    <border>
      <left style="mediumDashed">
        <color auto="1"/>
      </left>
      <right/>
      <top/>
      <bottom/>
      <diagonal/>
    </border>
    <border>
      <left/>
      <right/>
      <top/>
      <bottom style="mediumDashed">
        <color theme="1"/>
      </bottom>
      <diagonal/>
    </border>
    <border>
      <left style="mediumDashed">
        <color auto="1"/>
      </left>
      <right/>
      <top/>
      <bottom style="mediumDashed">
        <color theme="1"/>
      </bottom>
      <diagonal/>
    </border>
    <border>
      <left/>
      <right/>
      <top style="mediumDashed">
        <color indexed="64"/>
      </top>
      <bottom style="medium">
        <color theme="1"/>
      </bottom>
      <diagonal/>
    </border>
    <border>
      <left style="mediumDashed">
        <color auto="1"/>
      </left>
      <right/>
      <top style="mediumDashed">
        <color indexed="64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Dashed">
        <color indexed="64"/>
      </top>
      <bottom/>
      <diagonal/>
    </border>
    <border>
      <left/>
      <right style="mediumDashed">
        <color auto="1"/>
      </right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theme="1"/>
      </bottom>
      <diagonal/>
    </border>
    <border>
      <left/>
      <right style="mediumDashed">
        <color theme="1"/>
      </right>
      <top/>
      <bottom/>
      <diagonal/>
    </border>
    <border>
      <left/>
      <right style="mediumDashed">
        <color theme="1"/>
      </right>
      <top/>
      <bottom style="mediumDashed">
        <color theme="1"/>
      </bottom>
      <diagonal/>
    </border>
    <border>
      <left/>
      <right style="mediumDashed">
        <color theme="1"/>
      </right>
      <top style="mediumDashed">
        <color theme="1"/>
      </top>
      <bottom/>
      <diagonal/>
    </border>
    <border>
      <left/>
      <right style="mediumDashed">
        <color theme="1"/>
      </right>
      <top style="mediumDashed">
        <color auto="1"/>
      </top>
      <bottom/>
      <diagonal/>
    </border>
    <border>
      <left/>
      <right style="mediumDashed">
        <color theme="1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6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/>
    <xf numFmtId="0" fontId="0" fillId="0" borderId="13" xfId="0" applyBorder="1"/>
    <xf numFmtId="0" fontId="10" fillId="0" borderId="0" xfId="0" applyFont="1"/>
    <xf numFmtId="0" fontId="10" fillId="0" borderId="13" xfId="0" applyFont="1" applyBorder="1"/>
    <xf numFmtId="0" fontId="11" fillId="0" borderId="0" xfId="0" applyFont="1"/>
    <xf numFmtId="166" fontId="0" fillId="0" borderId="0" xfId="0" applyNumberFormat="1"/>
    <xf numFmtId="166" fontId="10" fillId="0" borderId="0" xfId="0" applyNumberFormat="1" applyFont="1"/>
    <xf numFmtId="166" fontId="0" fillId="0" borderId="13" xfId="0" applyNumberFormat="1" applyBorder="1"/>
    <xf numFmtId="166" fontId="8" fillId="0" borderId="0" xfId="0" applyNumberFormat="1" applyFont="1"/>
    <xf numFmtId="165" fontId="10" fillId="0" borderId="13" xfId="1" applyNumberFormat="1" applyFont="1" applyBorder="1"/>
    <xf numFmtId="165" fontId="10" fillId="0" borderId="0" xfId="1" applyNumberFormat="1" applyFont="1"/>
    <xf numFmtId="0" fontId="12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4" xfId="0" applyFont="1" applyBorder="1" applyAlignment="1">
      <alignment horizontal="left"/>
    </xf>
    <xf numFmtId="0" fontId="13" fillId="0" borderId="4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15" fillId="0" borderId="3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9" fontId="13" fillId="0" borderId="0" xfId="0" applyNumberFormat="1" applyFont="1" applyAlignment="1">
      <alignment horizontal="right"/>
    </xf>
    <xf numFmtId="9" fontId="13" fillId="0" borderId="1" xfId="0" applyNumberFormat="1" applyFont="1" applyBorder="1" applyAlignment="1">
      <alignment horizontal="right"/>
    </xf>
    <xf numFmtId="0" fontId="14" fillId="3" borderId="0" xfId="0" applyFont="1" applyFill="1" applyAlignment="1">
      <alignment horizontal="left"/>
    </xf>
    <xf numFmtId="0" fontId="14" fillId="3" borderId="0" xfId="0" applyFont="1" applyFill="1" applyAlignment="1">
      <alignment horizontal="right"/>
    </xf>
    <xf numFmtId="0" fontId="14" fillId="3" borderId="3" xfId="0" applyFont="1" applyFill="1" applyBorder="1" applyAlignment="1">
      <alignment horizontal="right"/>
    </xf>
    <xf numFmtId="0" fontId="4" fillId="3" borderId="0" xfId="0" applyFont="1" applyFill="1" applyAlignment="1">
      <alignment horizontal="left"/>
    </xf>
    <xf numFmtId="10" fontId="13" fillId="0" borderId="0" xfId="0" applyNumberFormat="1" applyFont="1" applyAlignment="1">
      <alignment horizontal="right"/>
    </xf>
    <xf numFmtId="10" fontId="13" fillId="0" borderId="1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165" fontId="16" fillId="0" borderId="0" xfId="0" applyNumberFormat="1" applyFont="1" applyAlignment="1">
      <alignment horizontal="right"/>
    </xf>
    <xf numFmtId="0" fontId="16" fillId="0" borderId="3" xfId="0" applyFont="1" applyBorder="1" applyAlignment="1">
      <alignment horizontal="right"/>
    </xf>
    <xf numFmtId="0" fontId="9" fillId="3" borderId="0" xfId="0" applyFont="1" applyFill="1"/>
    <xf numFmtId="0" fontId="7" fillId="3" borderId="0" xfId="0" applyFont="1" applyFill="1"/>
    <xf numFmtId="0" fontId="17" fillId="0" borderId="0" xfId="0" applyFont="1" applyAlignment="1">
      <alignment horizontal="left"/>
    </xf>
    <xf numFmtId="2" fontId="15" fillId="0" borderId="0" xfId="1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3" fillId="2" borderId="0" xfId="0" applyFont="1" applyFill="1" applyAlignment="1">
      <alignment horizontal="left"/>
    </xf>
    <xf numFmtId="0" fontId="13" fillId="2" borderId="0" xfId="0" applyFont="1" applyFill="1"/>
    <xf numFmtId="0" fontId="18" fillId="2" borderId="0" xfId="0" applyFont="1" applyFill="1" applyAlignment="1">
      <alignment horizontal="right"/>
    </xf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4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8" fillId="2" borderId="0" xfId="0" applyFont="1" applyFill="1" applyAlignment="1">
      <alignment horizontal="left"/>
    </xf>
    <xf numFmtId="164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8" fillId="0" borderId="0" xfId="0" applyFont="1" applyAlignment="1">
      <alignment horizontal="left"/>
    </xf>
    <xf numFmtId="0" fontId="18" fillId="0" borderId="0" xfId="0" applyFont="1"/>
    <xf numFmtId="164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20" fillId="0" borderId="0" xfId="0" applyFont="1"/>
    <xf numFmtId="1" fontId="13" fillId="0" borderId="0" xfId="0" applyNumberFormat="1" applyFont="1" applyAlignment="1">
      <alignment horizontal="right" vertical="center"/>
    </xf>
    <xf numFmtId="164" fontId="20" fillId="0" borderId="0" xfId="0" applyNumberFormat="1" applyFont="1"/>
    <xf numFmtId="0" fontId="19" fillId="2" borderId="0" xfId="0" applyFont="1" applyFill="1" applyAlignment="1">
      <alignment horizontal="right"/>
    </xf>
    <xf numFmtId="0" fontId="14" fillId="3" borderId="0" xfId="0" applyFont="1" applyFill="1"/>
    <xf numFmtId="0" fontId="1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right" vertical="center"/>
    </xf>
    <xf numFmtId="1" fontId="18" fillId="2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14" fontId="13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right"/>
    </xf>
    <xf numFmtId="0" fontId="22" fillId="0" borderId="0" xfId="0" applyFont="1"/>
    <xf numFmtId="0" fontId="18" fillId="0" borderId="1" xfId="0" applyFont="1" applyBorder="1" applyAlignment="1">
      <alignment horizontal="left"/>
    </xf>
    <xf numFmtId="0" fontId="13" fillId="0" borderId="1" xfId="0" applyFont="1" applyBorder="1"/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9" xfId="0" applyFont="1" applyBorder="1" applyAlignment="1">
      <alignment horizontal="left"/>
    </xf>
    <xf numFmtId="0" fontId="13" fillId="0" borderId="10" xfId="0" applyFont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3" fillId="0" borderId="11" xfId="0" applyFont="1" applyBorder="1" applyAlignment="1">
      <alignment horizontal="left"/>
    </xf>
    <xf numFmtId="0" fontId="13" fillId="0" borderId="12" xfId="0" applyFont="1" applyBorder="1" applyAlignment="1">
      <alignment horizontal="right"/>
    </xf>
    <xf numFmtId="0" fontId="23" fillId="0" borderId="7" xfId="0" applyFont="1" applyBorder="1" applyAlignment="1">
      <alignment horizontal="right"/>
    </xf>
    <xf numFmtId="0" fontId="23" fillId="0" borderId="8" xfId="0" applyFont="1" applyBorder="1" applyAlignment="1">
      <alignment horizontal="right"/>
    </xf>
    <xf numFmtId="0" fontId="13" fillId="0" borderId="11" xfId="0" applyFont="1" applyBorder="1" applyAlignment="1">
      <alignment horizontal="right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23" fillId="0" borderId="9" xfId="0" applyFont="1" applyBorder="1" applyAlignment="1">
      <alignment horizontal="left"/>
    </xf>
    <xf numFmtId="10" fontId="13" fillId="0" borderId="8" xfId="0" applyNumberFormat="1" applyFont="1" applyBorder="1" applyAlignment="1">
      <alignment horizontal="right"/>
    </xf>
    <xf numFmtId="10" fontId="13" fillId="0" borderId="6" xfId="0" applyNumberFormat="1" applyFont="1" applyBorder="1" applyAlignment="1">
      <alignment horizontal="right"/>
    </xf>
    <xf numFmtId="10" fontId="13" fillId="0" borderId="7" xfId="0" applyNumberFormat="1" applyFont="1" applyBorder="1" applyAlignment="1">
      <alignment horizontal="right"/>
    </xf>
    <xf numFmtId="10" fontId="13" fillId="0" borderId="10" xfId="0" applyNumberFormat="1" applyFont="1" applyBorder="1" applyAlignment="1">
      <alignment horizontal="right"/>
    </xf>
    <xf numFmtId="10" fontId="13" fillId="0" borderId="9" xfId="0" applyNumberFormat="1" applyFont="1" applyBorder="1" applyAlignment="1">
      <alignment horizontal="right"/>
    </xf>
    <xf numFmtId="10" fontId="13" fillId="0" borderId="12" xfId="0" applyNumberFormat="1" applyFont="1" applyBorder="1" applyAlignment="1">
      <alignment horizontal="right"/>
    </xf>
    <xf numFmtId="10" fontId="13" fillId="0" borderId="11" xfId="0" applyNumberFormat="1" applyFont="1" applyBorder="1" applyAlignment="1">
      <alignment horizontal="right"/>
    </xf>
    <xf numFmtId="0" fontId="24" fillId="0" borderId="9" xfId="0" applyFont="1" applyBorder="1" applyAlignment="1">
      <alignment horizontal="left"/>
    </xf>
    <xf numFmtId="0" fontId="24" fillId="0" borderId="11" xfId="0" applyFont="1" applyBorder="1" applyAlignment="1">
      <alignment horizontal="left"/>
    </xf>
    <xf numFmtId="165" fontId="13" fillId="0" borderId="0" xfId="0" applyNumberFormat="1" applyFont="1" applyAlignment="1">
      <alignment horizontal="right"/>
    </xf>
    <xf numFmtId="165" fontId="13" fillId="0" borderId="1" xfId="0" applyNumberFormat="1" applyFont="1" applyBorder="1" applyAlignment="1">
      <alignment horizontal="right"/>
    </xf>
    <xf numFmtId="0" fontId="18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13" fillId="2" borderId="14" xfId="0" applyFont="1" applyFill="1" applyBorder="1"/>
    <xf numFmtId="9" fontId="18" fillId="2" borderId="15" xfId="0" applyNumberFormat="1" applyFont="1" applyFill="1" applyBorder="1" applyAlignment="1">
      <alignment horizontal="right"/>
    </xf>
    <xf numFmtId="0" fontId="18" fillId="2" borderId="16" xfId="0" applyFont="1" applyFill="1" applyBorder="1"/>
    <xf numFmtId="0" fontId="18" fillId="2" borderId="17" xfId="0" applyFont="1" applyFill="1" applyBorder="1" applyAlignment="1">
      <alignment horizontal="right"/>
    </xf>
    <xf numFmtId="9" fontId="18" fillId="2" borderId="17" xfId="0" applyNumberFormat="1" applyFont="1" applyFill="1" applyBorder="1" applyAlignment="1">
      <alignment horizontal="right"/>
    </xf>
    <xf numFmtId="0" fontId="21" fillId="2" borderId="18" xfId="0" applyFont="1" applyFill="1" applyBorder="1"/>
    <xf numFmtId="0" fontId="13" fillId="2" borderId="14" xfId="0" applyFont="1" applyFill="1" applyBorder="1" applyAlignment="1">
      <alignment horizontal="right"/>
    </xf>
    <xf numFmtId="0" fontId="21" fillId="2" borderId="14" xfId="0" applyFont="1" applyFill="1" applyBorder="1" applyAlignment="1">
      <alignment horizontal="right"/>
    </xf>
    <xf numFmtId="0" fontId="21" fillId="2" borderId="19" xfId="0" applyFont="1" applyFill="1" applyBorder="1" applyAlignment="1">
      <alignment horizontal="right"/>
    </xf>
    <xf numFmtId="165" fontId="13" fillId="0" borderId="16" xfId="0" applyNumberFormat="1" applyFont="1" applyBorder="1" applyAlignment="1">
      <alignment horizontal="right"/>
    </xf>
    <xf numFmtId="165" fontId="13" fillId="0" borderId="17" xfId="0" applyNumberFormat="1" applyFont="1" applyBorder="1" applyAlignment="1">
      <alignment horizontal="right"/>
    </xf>
    <xf numFmtId="165" fontId="13" fillId="0" borderId="15" xfId="0" applyNumberFormat="1" applyFont="1" applyBorder="1" applyAlignment="1">
      <alignment horizontal="right"/>
    </xf>
    <xf numFmtId="165" fontId="13" fillId="0" borderId="20" xfId="0" applyNumberFormat="1" applyFont="1" applyBorder="1" applyAlignment="1">
      <alignment horizontal="right"/>
    </xf>
    <xf numFmtId="165" fontId="13" fillId="0" borderId="21" xfId="0" applyNumberFormat="1" applyFont="1" applyBorder="1" applyAlignment="1">
      <alignment horizontal="right"/>
    </xf>
    <xf numFmtId="165" fontId="13" fillId="0" borderId="18" xfId="0" applyNumberFormat="1" applyFont="1" applyBorder="1" applyAlignment="1">
      <alignment horizontal="right"/>
    </xf>
    <xf numFmtId="165" fontId="13" fillId="0" borderId="14" xfId="0" applyNumberFormat="1" applyFont="1" applyBorder="1" applyAlignment="1">
      <alignment horizontal="right"/>
    </xf>
    <xf numFmtId="165" fontId="18" fillId="0" borderId="19" xfId="0" applyNumberFormat="1" applyFont="1" applyBorder="1" applyAlignment="1">
      <alignment horizontal="right"/>
    </xf>
    <xf numFmtId="0" fontId="13" fillId="0" borderId="16" xfId="0" applyFont="1" applyBorder="1" applyAlignment="1">
      <alignment horizontal="right"/>
    </xf>
    <xf numFmtId="0" fontId="13" fillId="0" borderId="17" xfId="0" applyFont="1" applyBorder="1" applyAlignment="1">
      <alignment horizontal="right"/>
    </xf>
    <xf numFmtId="0" fontId="13" fillId="0" borderId="15" xfId="0" applyFont="1" applyBorder="1" applyAlignment="1">
      <alignment horizontal="right"/>
    </xf>
    <xf numFmtId="0" fontId="13" fillId="0" borderId="20" xfId="0" applyFont="1" applyBorder="1" applyAlignment="1">
      <alignment horizontal="right"/>
    </xf>
    <xf numFmtId="0" fontId="13" fillId="0" borderId="21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8" fillId="0" borderId="19" xfId="0" applyFont="1" applyBorder="1" applyAlignment="1">
      <alignment horizontal="right"/>
    </xf>
    <xf numFmtId="0" fontId="19" fillId="2" borderId="18" xfId="0" applyFont="1" applyFill="1" applyBorder="1"/>
    <xf numFmtId="0" fontId="18" fillId="2" borderId="14" xfId="0" applyFont="1" applyFill="1" applyBorder="1" applyAlignment="1">
      <alignment horizontal="right"/>
    </xf>
    <xf numFmtId="0" fontId="19" fillId="2" borderId="14" xfId="0" applyFont="1" applyFill="1" applyBorder="1" applyAlignment="1">
      <alignment horizontal="right"/>
    </xf>
    <xf numFmtId="0" fontId="19" fillId="2" borderId="19" xfId="0" applyFont="1" applyFill="1" applyBorder="1" applyAlignment="1">
      <alignment horizontal="right"/>
    </xf>
    <xf numFmtId="166" fontId="18" fillId="2" borderId="0" xfId="0" applyNumberFormat="1" applyFont="1" applyFill="1" applyAlignment="1">
      <alignment horizontal="right"/>
    </xf>
    <xf numFmtId="0" fontId="26" fillId="0" borderId="0" xfId="0" applyFont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right"/>
    </xf>
    <xf numFmtId="0" fontId="27" fillId="0" borderId="0" xfId="0" applyFont="1"/>
    <xf numFmtId="49" fontId="25" fillId="0" borderId="24" xfId="0" applyNumberFormat="1" applyFont="1" applyBorder="1" applyAlignment="1">
      <alignment horizontal="right"/>
    </xf>
    <xf numFmtId="49" fontId="25" fillId="0" borderId="0" xfId="0" applyNumberFormat="1" applyFont="1" applyAlignment="1">
      <alignment horizontal="right"/>
    </xf>
    <xf numFmtId="0" fontId="25" fillId="0" borderId="25" xfId="0" applyFont="1" applyBorder="1"/>
    <xf numFmtId="0" fontId="25" fillId="0" borderId="25" xfId="0" applyFont="1" applyBorder="1" applyAlignment="1">
      <alignment horizontal="right"/>
    </xf>
    <xf numFmtId="49" fontId="25" fillId="0" borderId="25" xfId="0" applyNumberFormat="1" applyFont="1" applyBorder="1" applyAlignment="1">
      <alignment horizontal="right"/>
    </xf>
    <xf numFmtId="49" fontId="25" fillId="0" borderId="26" xfId="0" applyNumberFormat="1" applyFont="1" applyBorder="1" applyAlignment="1">
      <alignment horizontal="right"/>
    </xf>
    <xf numFmtId="0" fontId="26" fillId="0" borderId="0" xfId="0" applyFont="1"/>
    <xf numFmtId="0" fontId="26" fillId="0" borderId="0" xfId="0" applyFont="1" applyAlignment="1">
      <alignment horizontal="right"/>
    </xf>
    <xf numFmtId="49" fontId="26" fillId="0" borderId="0" xfId="0" applyNumberFormat="1" applyFont="1" applyAlignment="1">
      <alignment horizontal="right"/>
    </xf>
    <xf numFmtId="49" fontId="26" fillId="0" borderId="24" xfId="0" applyNumberFormat="1" applyFont="1" applyBorder="1" applyAlignment="1">
      <alignment horizontal="right"/>
    </xf>
    <xf numFmtId="0" fontId="28" fillId="0" borderId="0" xfId="0" applyFont="1"/>
    <xf numFmtId="0" fontId="28" fillId="0" borderId="0" xfId="0" applyFont="1" applyAlignment="1">
      <alignment horizontal="right"/>
    </xf>
    <xf numFmtId="49" fontId="28" fillId="0" borderId="0" xfId="0" applyNumberFormat="1" applyFont="1" applyAlignment="1">
      <alignment horizontal="right"/>
    </xf>
    <xf numFmtId="49" fontId="28" fillId="0" borderId="24" xfId="0" applyNumberFormat="1" applyFont="1" applyBorder="1" applyAlignment="1">
      <alignment horizontal="right"/>
    </xf>
    <xf numFmtId="0" fontId="25" fillId="0" borderId="22" xfId="0" applyFont="1" applyBorder="1"/>
    <xf numFmtId="0" fontId="25" fillId="0" borderId="22" xfId="0" applyFont="1" applyBorder="1" applyAlignment="1">
      <alignment horizontal="right"/>
    </xf>
    <xf numFmtId="49" fontId="25" fillId="0" borderId="22" xfId="0" applyNumberFormat="1" applyFont="1" applyBorder="1" applyAlignment="1">
      <alignment horizontal="right"/>
    </xf>
    <xf numFmtId="49" fontId="25" fillId="0" borderId="23" xfId="0" applyNumberFormat="1" applyFont="1" applyBorder="1" applyAlignment="1">
      <alignment horizontal="right"/>
    </xf>
    <xf numFmtId="0" fontId="26" fillId="0" borderId="0" xfId="0" applyFont="1" applyAlignment="1">
      <alignment vertical="top"/>
    </xf>
    <xf numFmtId="0" fontId="26" fillId="0" borderId="25" xfId="0" applyFont="1" applyBorder="1" applyAlignment="1">
      <alignment vertical="top"/>
    </xf>
    <xf numFmtId="0" fontId="26" fillId="0" borderId="25" xfId="0" applyFont="1" applyBorder="1" applyAlignment="1">
      <alignment horizontal="right" vertical="top"/>
    </xf>
    <xf numFmtId="49" fontId="26" fillId="0" borderId="25" xfId="0" applyNumberFormat="1" applyFont="1" applyBorder="1" applyAlignment="1">
      <alignment horizontal="right" vertical="top"/>
    </xf>
    <xf numFmtId="0" fontId="29" fillId="0" borderId="0" xfId="0" applyFont="1"/>
    <xf numFmtId="0" fontId="29" fillId="0" borderId="0" xfId="0" applyFont="1" applyAlignment="1">
      <alignment horizontal="right"/>
    </xf>
    <xf numFmtId="49" fontId="29" fillId="0" borderId="0" xfId="0" applyNumberFormat="1" applyFont="1" applyAlignment="1">
      <alignment horizontal="right"/>
    </xf>
    <xf numFmtId="49" fontId="29" fillId="0" borderId="24" xfId="0" applyNumberFormat="1" applyFont="1" applyBorder="1" applyAlignment="1">
      <alignment horizontal="right"/>
    </xf>
    <xf numFmtId="10" fontId="29" fillId="0" borderId="24" xfId="0" applyNumberFormat="1" applyFont="1" applyBorder="1" applyAlignment="1">
      <alignment horizontal="right"/>
    </xf>
    <xf numFmtId="10" fontId="29" fillId="0" borderId="0" xfId="0" applyNumberFormat="1" applyFont="1" applyAlignment="1">
      <alignment horizontal="right"/>
    </xf>
    <xf numFmtId="166" fontId="26" fillId="0" borderId="24" xfId="0" applyNumberFormat="1" applyFont="1" applyBorder="1" applyAlignment="1">
      <alignment horizontal="right"/>
    </xf>
    <xf numFmtId="166" fontId="26" fillId="0" borderId="0" xfId="0" applyNumberFormat="1" applyFont="1" applyAlignment="1">
      <alignment horizontal="right"/>
    </xf>
    <xf numFmtId="166" fontId="26" fillId="0" borderId="26" xfId="0" applyNumberFormat="1" applyFont="1" applyBorder="1" applyAlignment="1">
      <alignment horizontal="right" vertical="top"/>
    </xf>
    <xf numFmtId="166" fontId="26" fillId="0" borderId="25" xfId="0" applyNumberFormat="1" applyFont="1" applyBorder="1" applyAlignment="1">
      <alignment horizontal="right" vertical="top"/>
    </xf>
    <xf numFmtId="0" fontId="26" fillId="0" borderId="27" xfId="0" applyFont="1" applyBorder="1"/>
    <xf numFmtId="0" fontId="26" fillId="0" borderId="27" xfId="0" applyFont="1" applyBorder="1" applyAlignment="1">
      <alignment horizontal="right"/>
    </xf>
    <xf numFmtId="49" fontId="26" fillId="0" borderId="27" xfId="0" applyNumberFormat="1" applyFont="1" applyBorder="1" applyAlignment="1">
      <alignment horizontal="right"/>
    </xf>
    <xf numFmtId="166" fontId="26" fillId="0" borderId="28" xfId="0" applyNumberFormat="1" applyFont="1" applyBorder="1" applyAlignment="1">
      <alignment horizontal="right"/>
    </xf>
    <xf numFmtId="166" fontId="26" fillId="0" borderId="27" xfId="0" applyNumberFormat="1" applyFont="1" applyBorder="1" applyAlignment="1">
      <alignment horizontal="right"/>
    </xf>
    <xf numFmtId="3" fontId="26" fillId="0" borderId="0" xfId="0" applyNumberFormat="1" applyFont="1" applyAlignment="1">
      <alignment horizontal="right"/>
    </xf>
    <xf numFmtId="167" fontId="26" fillId="0" borderId="0" xfId="0" applyNumberFormat="1" applyFont="1" applyAlignment="1">
      <alignment horizontal="right"/>
    </xf>
    <xf numFmtId="165" fontId="29" fillId="0" borderId="0" xfId="1" applyNumberFormat="1" applyFont="1"/>
    <xf numFmtId="165" fontId="29" fillId="0" borderId="0" xfId="1" applyNumberFormat="1" applyFont="1" applyAlignment="1">
      <alignment horizontal="right"/>
    </xf>
    <xf numFmtId="0" fontId="26" fillId="0" borderId="25" xfId="0" applyFont="1" applyBorder="1"/>
    <xf numFmtId="0" fontId="26" fillId="0" borderId="25" xfId="0" applyFont="1" applyBorder="1" applyAlignment="1">
      <alignment horizontal="right"/>
    </xf>
    <xf numFmtId="167" fontId="26" fillId="0" borderId="25" xfId="0" applyNumberFormat="1" applyFont="1" applyBorder="1" applyAlignment="1">
      <alignment horizontal="right"/>
    </xf>
    <xf numFmtId="0" fontId="26" fillId="0" borderId="29" xfId="0" applyFont="1" applyBorder="1"/>
    <xf numFmtId="0" fontId="26" fillId="0" borderId="29" xfId="0" applyFont="1" applyBorder="1" applyAlignment="1">
      <alignment horizontal="right"/>
    </xf>
    <xf numFmtId="167" fontId="26" fillId="0" borderId="29" xfId="0" applyNumberFormat="1" applyFont="1" applyBorder="1" applyAlignment="1">
      <alignment horizontal="right"/>
    </xf>
    <xf numFmtId="0" fontId="26" fillId="0" borderId="30" xfId="0" applyFont="1" applyBorder="1" applyAlignment="1">
      <alignment vertical="top"/>
    </xf>
    <xf numFmtId="0" fontId="26" fillId="0" borderId="30" xfId="0" applyFont="1" applyBorder="1" applyAlignment="1">
      <alignment horizontal="right" vertical="top"/>
    </xf>
    <xf numFmtId="0" fontId="25" fillId="0" borderId="32" xfId="0" applyFont="1" applyBorder="1" applyAlignment="1">
      <alignment horizontal="right"/>
    </xf>
    <xf numFmtId="0" fontId="28" fillId="0" borderId="32" xfId="0" applyFont="1" applyBorder="1" applyAlignment="1">
      <alignment horizontal="right"/>
    </xf>
    <xf numFmtId="0" fontId="25" fillId="0" borderId="33" xfId="0" applyFont="1" applyBorder="1" applyAlignment="1">
      <alignment horizontal="right"/>
    </xf>
    <xf numFmtId="0" fontId="26" fillId="0" borderId="32" xfId="0" applyFont="1" applyBorder="1" applyAlignment="1">
      <alignment horizontal="right"/>
    </xf>
    <xf numFmtId="0" fontId="28" fillId="0" borderId="22" xfId="0" applyFont="1" applyBorder="1" applyAlignment="1">
      <alignment horizontal="right"/>
    </xf>
    <xf numFmtId="165" fontId="29" fillId="0" borderId="32" xfId="1" applyNumberFormat="1" applyFont="1" applyBorder="1" applyAlignment="1">
      <alignment horizontal="right"/>
    </xf>
    <xf numFmtId="165" fontId="29" fillId="0" borderId="0" xfId="0" applyNumberFormat="1" applyFont="1"/>
    <xf numFmtId="165" fontId="29" fillId="0" borderId="0" xfId="0" applyNumberFormat="1" applyFont="1" applyAlignment="1">
      <alignment horizontal="right"/>
    </xf>
    <xf numFmtId="165" fontId="29" fillId="0" borderId="32" xfId="0" applyNumberFormat="1" applyFont="1" applyBorder="1" applyAlignment="1">
      <alignment horizontal="right"/>
    </xf>
    <xf numFmtId="165" fontId="29" fillId="0" borderId="25" xfId="0" applyNumberFormat="1" applyFont="1" applyBorder="1"/>
    <xf numFmtId="165" fontId="29" fillId="0" borderId="25" xfId="0" applyNumberFormat="1" applyFont="1" applyBorder="1" applyAlignment="1">
      <alignment horizontal="right"/>
    </xf>
    <xf numFmtId="165" fontId="29" fillId="0" borderId="34" xfId="0" applyNumberFormat="1" applyFont="1" applyBorder="1" applyAlignment="1">
      <alignment horizontal="right"/>
    </xf>
    <xf numFmtId="166" fontId="26" fillId="0" borderId="32" xfId="0" applyNumberFormat="1" applyFont="1" applyBorder="1" applyAlignment="1">
      <alignment horizontal="right"/>
    </xf>
    <xf numFmtId="165" fontId="29" fillId="0" borderId="35" xfId="0" applyNumberFormat="1" applyFont="1" applyBorder="1" applyAlignment="1">
      <alignment horizontal="right"/>
    </xf>
    <xf numFmtId="0" fontId="29" fillId="0" borderId="25" xfId="0" applyFont="1" applyBorder="1"/>
    <xf numFmtId="165" fontId="29" fillId="0" borderId="36" xfId="0" applyNumberFormat="1" applyFont="1" applyBorder="1" applyAlignment="1">
      <alignment horizontal="right"/>
    </xf>
    <xf numFmtId="166" fontId="26" fillId="0" borderId="37" xfId="0" applyNumberFormat="1" applyFont="1" applyBorder="1" applyAlignment="1">
      <alignment horizontal="right"/>
    </xf>
    <xf numFmtId="0" fontId="29" fillId="0" borderId="32" xfId="0" applyFont="1" applyBorder="1" applyAlignment="1">
      <alignment horizontal="right"/>
    </xf>
    <xf numFmtId="0" fontId="29" fillId="0" borderId="22" xfId="0" applyFont="1" applyBorder="1"/>
    <xf numFmtId="0" fontId="29" fillId="0" borderId="22" xfId="0" applyFont="1" applyBorder="1" applyAlignment="1">
      <alignment horizontal="right"/>
    </xf>
    <xf numFmtId="0" fontId="29" fillId="0" borderId="33" xfId="0" applyFont="1" applyBorder="1" applyAlignment="1">
      <alignment horizontal="right"/>
    </xf>
    <xf numFmtId="165" fontId="25" fillId="0" borderId="0" xfId="0" applyNumberFormat="1" applyFont="1" applyAlignment="1">
      <alignment horizontal="right"/>
    </xf>
    <xf numFmtId="165" fontId="29" fillId="0" borderId="22" xfId="0" applyNumberFormat="1" applyFont="1" applyBorder="1" applyAlignment="1">
      <alignment horizontal="right"/>
    </xf>
    <xf numFmtId="166" fontId="25" fillId="0" borderId="0" xfId="0" applyNumberFormat="1" applyFont="1" applyAlignment="1">
      <alignment horizontal="right"/>
    </xf>
    <xf numFmtId="0" fontId="26" fillId="0" borderId="38" xfId="0" applyFont="1" applyBorder="1" applyAlignment="1">
      <alignment horizontal="right"/>
    </xf>
    <xf numFmtId="165" fontId="29" fillId="0" borderId="33" xfId="0" applyNumberFormat="1" applyFont="1" applyBorder="1" applyAlignment="1">
      <alignment horizontal="right"/>
    </xf>
    <xf numFmtId="166" fontId="26" fillId="0" borderId="38" xfId="0" applyNumberFormat="1" applyFont="1" applyBorder="1" applyAlignment="1">
      <alignment horizontal="right"/>
    </xf>
    <xf numFmtId="0" fontId="29" fillId="0" borderId="1" xfId="0" applyFont="1" applyBorder="1"/>
    <xf numFmtId="165" fontId="29" fillId="0" borderId="1" xfId="0" applyNumberFormat="1" applyFont="1" applyBorder="1" applyAlignment="1">
      <alignment horizontal="right"/>
    </xf>
    <xf numFmtId="165" fontId="29" fillId="0" borderId="31" xfId="0" applyNumberFormat="1" applyFont="1" applyBorder="1" applyAlignment="1">
      <alignment horizontal="right"/>
    </xf>
    <xf numFmtId="9" fontId="30" fillId="0" borderId="1" xfId="0" applyNumberFormat="1" applyFont="1" applyBorder="1" applyAlignment="1">
      <alignment horizontal="right" vertical="center"/>
    </xf>
    <xf numFmtId="9" fontId="30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9" fontId="31" fillId="0" borderId="1" xfId="0" applyNumberFormat="1" applyFont="1" applyBorder="1" applyAlignment="1">
      <alignment horizontal="right" vertical="center"/>
    </xf>
    <xf numFmtId="9" fontId="31" fillId="0" borderId="0" xfId="0" applyNumberFormat="1" applyFont="1" applyAlignment="1">
      <alignment horizontal="right" vertical="center"/>
    </xf>
    <xf numFmtId="0" fontId="14" fillId="3" borderId="1" xfId="0" applyFont="1" applyFill="1" applyBorder="1"/>
    <xf numFmtId="0" fontId="14" fillId="3" borderId="1" xfId="0" applyFont="1" applyFill="1" applyBorder="1" applyAlignment="1">
      <alignment horizontal="left"/>
    </xf>
    <xf numFmtId="165" fontId="31" fillId="0" borderId="0" xfId="0" applyNumberFormat="1" applyFont="1" applyAlignment="1">
      <alignment horizontal="right" vertical="center"/>
    </xf>
    <xf numFmtId="0" fontId="32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right"/>
    </xf>
    <xf numFmtId="0" fontId="33" fillId="0" borderId="32" xfId="0" applyFont="1" applyBorder="1" applyAlignment="1">
      <alignment horizontal="right"/>
    </xf>
    <xf numFmtId="0" fontId="25" fillId="0" borderId="1" xfId="0" applyFont="1" applyBorder="1"/>
    <xf numFmtId="0" fontId="25" fillId="0" borderId="1" xfId="0" applyFont="1" applyBorder="1" applyAlignment="1">
      <alignment horizontal="right"/>
    </xf>
    <xf numFmtId="0" fontId="25" fillId="0" borderId="31" xfId="0" applyFont="1" applyBorder="1" applyAlignment="1">
      <alignment horizontal="right"/>
    </xf>
    <xf numFmtId="0" fontId="26" fillId="0" borderId="0" xfId="0" applyFont="1" applyAlignment="1">
      <alignment horizontal="center"/>
    </xf>
    <xf numFmtId="0" fontId="16" fillId="0" borderId="0" xfId="0" applyFont="1"/>
    <xf numFmtId="0" fontId="34" fillId="0" borderId="0" xfId="0" applyFont="1" applyAlignment="1">
      <alignment horizontal="center"/>
    </xf>
    <xf numFmtId="165" fontId="16" fillId="0" borderId="35" xfId="0" applyNumberFormat="1" applyFont="1" applyBorder="1" applyAlignment="1">
      <alignment horizontal="right"/>
    </xf>
    <xf numFmtId="0" fontId="25" fillId="0" borderId="13" xfId="0" applyFont="1" applyBorder="1" applyAlignment="1">
      <alignment horizontal="right"/>
    </xf>
    <xf numFmtId="165" fontId="25" fillId="0" borderId="1" xfId="0" applyNumberFormat="1" applyFont="1" applyBorder="1" applyAlignment="1">
      <alignment horizontal="right"/>
    </xf>
    <xf numFmtId="165" fontId="25" fillId="0" borderId="32" xfId="0" applyNumberFormat="1" applyFont="1" applyBorder="1" applyAlignment="1">
      <alignment horizontal="right"/>
    </xf>
    <xf numFmtId="165" fontId="25" fillId="0" borderId="39" xfId="0" applyNumberFormat="1" applyFont="1" applyBorder="1" applyAlignment="1">
      <alignment horizontal="right"/>
    </xf>
    <xf numFmtId="165" fontId="25" fillId="0" borderId="0" xfId="1" applyNumberFormat="1" applyFont="1"/>
    <xf numFmtId="165" fontId="26" fillId="0" borderId="0" xfId="0" applyNumberFormat="1" applyFont="1" applyAlignment="1">
      <alignment horizontal="center"/>
    </xf>
    <xf numFmtId="0" fontId="31" fillId="0" borderId="22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/>
    </xf>
    <xf numFmtId="0" fontId="25" fillId="0" borderId="40" xfId="0" applyFont="1" applyBorder="1"/>
    <xf numFmtId="0" fontId="31" fillId="0" borderId="40" xfId="0" applyFont="1" applyBorder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26" fillId="0" borderId="1" xfId="0" applyFont="1" applyBorder="1"/>
    <xf numFmtId="0" fontId="30" fillId="0" borderId="1" xfId="0" applyFont="1" applyBorder="1" applyAlignment="1">
      <alignment horizontal="right" vertical="center"/>
    </xf>
    <xf numFmtId="0" fontId="35" fillId="3" borderId="0" xfId="0" applyFont="1" applyFill="1"/>
    <xf numFmtId="10" fontId="36" fillId="0" borderId="0" xfId="0" applyNumberFormat="1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/>
    </xf>
    <xf numFmtId="0" fontId="1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 wrapText="1"/>
    </xf>
    <xf numFmtId="0" fontId="13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4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lideworks_2">
  <a:themeElements>
    <a:clrScheme name="Slideworks_2">
      <a:dk1>
        <a:srgbClr val="061F32"/>
      </a:dk1>
      <a:lt1>
        <a:srgbClr val="FFFFFF"/>
      </a:lt1>
      <a:dk2>
        <a:srgbClr val="44546A"/>
      </a:dk2>
      <a:lt2>
        <a:srgbClr val="E7E6E6"/>
      </a:lt2>
      <a:accent1>
        <a:srgbClr val="061F32"/>
      </a:accent1>
      <a:accent2>
        <a:srgbClr val="22A3DF"/>
      </a:accent2>
      <a:accent3>
        <a:srgbClr val="2222F6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deworks" id="{8DFC3B37-E359-CA49-A1F7-6E72575D4B5B}" vid="{B47373BC-2D7A-6C4B-8BE3-24FFBFBFCD59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2D0B-D9A4-9C48-A0C5-AC236575C2D6}">
  <dimension ref="B2:F38"/>
  <sheetViews>
    <sheetView zoomScale="75" workbookViewId="0">
      <selection activeCell="H31" sqref="H31"/>
    </sheetView>
  </sheetViews>
  <sheetFormatPr baseColWidth="10" defaultRowHeight="16" x14ac:dyDescent="0.2"/>
  <cols>
    <col min="1" max="1" width="3.140625" customWidth="1"/>
    <col min="2" max="2" width="46.140625" customWidth="1"/>
  </cols>
  <sheetData>
    <row r="2" spans="2:6" ht="18" x14ac:dyDescent="0.2">
      <c r="B2" s="12" t="s">
        <v>111</v>
      </c>
    </row>
    <row r="3" spans="2:6" x14ac:dyDescent="0.2">
      <c r="C3" t="s">
        <v>140</v>
      </c>
      <c r="D3" t="s">
        <v>139</v>
      </c>
      <c r="E3" t="s">
        <v>138</v>
      </c>
      <c r="F3" t="s">
        <v>141</v>
      </c>
    </row>
    <row r="4" spans="2:6" x14ac:dyDescent="0.2">
      <c r="B4" s="46" t="s">
        <v>112</v>
      </c>
      <c r="C4" s="47" t="s">
        <v>137</v>
      </c>
      <c r="D4" s="47" t="s">
        <v>136</v>
      </c>
      <c r="E4" s="47" t="s">
        <v>134</v>
      </c>
      <c r="F4" s="47" t="s">
        <v>135</v>
      </c>
    </row>
    <row r="5" spans="2:6" x14ac:dyDescent="0.2">
      <c r="B5" t="s">
        <v>55</v>
      </c>
      <c r="C5" s="13">
        <v>315.7</v>
      </c>
      <c r="D5" s="13">
        <v>389</v>
      </c>
      <c r="E5" s="13">
        <v>452.2</v>
      </c>
      <c r="F5" s="13">
        <v>491.1</v>
      </c>
    </row>
    <row r="6" spans="2:6" x14ac:dyDescent="0.2">
      <c r="B6" s="10" t="s">
        <v>113</v>
      </c>
      <c r="C6" s="18"/>
      <c r="D6" s="18">
        <f>D5/C5-1</f>
        <v>0.23218245169464691</v>
      </c>
      <c r="E6" s="18">
        <f>E5/D5-1</f>
        <v>0.16246786632390742</v>
      </c>
      <c r="F6" s="18">
        <f>F5/E5-1</f>
        <v>8.6023883237505538E-2</v>
      </c>
    </row>
    <row r="7" spans="2:6" x14ac:dyDescent="0.2">
      <c r="B7" s="9" t="s">
        <v>114</v>
      </c>
      <c r="C7" s="15">
        <v>0</v>
      </c>
      <c r="D7" s="15">
        <v>0</v>
      </c>
      <c r="E7" s="15">
        <v>0</v>
      </c>
      <c r="F7" s="15">
        <v>0</v>
      </c>
    </row>
    <row r="8" spans="2:6" x14ac:dyDescent="0.2">
      <c r="B8" s="8" t="s">
        <v>115</v>
      </c>
      <c r="C8" s="16">
        <f>SUM(C7+C5)</f>
        <v>315.7</v>
      </c>
      <c r="D8" s="16">
        <f t="shared" ref="D8:F8" si="0">SUM(D7+D5)</f>
        <v>389</v>
      </c>
      <c r="E8" s="16">
        <f t="shared" si="0"/>
        <v>452.2</v>
      </c>
      <c r="F8" s="16">
        <f t="shared" si="0"/>
        <v>491.1</v>
      </c>
    </row>
    <row r="9" spans="2:6" x14ac:dyDescent="0.2">
      <c r="C9" s="13"/>
      <c r="D9" s="13"/>
      <c r="E9" s="13"/>
      <c r="F9" s="13"/>
    </row>
    <row r="10" spans="2:6" x14ac:dyDescent="0.2">
      <c r="B10" t="s">
        <v>116</v>
      </c>
      <c r="C10" s="13">
        <v>190.8</v>
      </c>
      <c r="D10" s="13">
        <v>234.8</v>
      </c>
      <c r="E10" s="13">
        <v>269.3</v>
      </c>
      <c r="F10" s="13">
        <v>283.10000000000002</v>
      </c>
    </row>
    <row r="11" spans="2:6" x14ac:dyDescent="0.2">
      <c r="B11" s="11" t="s">
        <v>117</v>
      </c>
      <c r="C11" s="17">
        <f>C10/C8</f>
        <v>0.60437123851758001</v>
      </c>
      <c r="D11" s="17">
        <f t="shared" ref="D11:F11" si="1">D10/D8</f>
        <v>0.6035989717223651</v>
      </c>
      <c r="E11" s="17">
        <f t="shared" si="1"/>
        <v>0.59553295002211415</v>
      </c>
      <c r="F11" s="17">
        <f t="shared" si="1"/>
        <v>0.57646100590511096</v>
      </c>
    </row>
    <row r="12" spans="2:6" x14ac:dyDescent="0.2">
      <c r="B12" s="8" t="s">
        <v>118</v>
      </c>
      <c r="C12" s="16">
        <f>C8-C10</f>
        <v>124.89999999999998</v>
      </c>
      <c r="D12" s="16">
        <f t="shared" ref="D12:F12" si="2">D8-D10</f>
        <v>154.19999999999999</v>
      </c>
      <c r="E12" s="16">
        <f t="shared" si="2"/>
        <v>182.89999999999998</v>
      </c>
      <c r="F12" s="16">
        <f t="shared" si="2"/>
        <v>208</v>
      </c>
    </row>
    <row r="13" spans="2:6" x14ac:dyDescent="0.2">
      <c r="B13" s="10" t="s">
        <v>117</v>
      </c>
      <c r="C13" s="18">
        <f>C12/C8</f>
        <v>0.39562876148241999</v>
      </c>
      <c r="D13" s="18">
        <f t="shared" ref="D13:F13" si="3">D12/D8</f>
        <v>0.39640102827763496</v>
      </c>
      <c r="E13" s="18">
        <f t="shared" si="3"/>
        <v>0.40446704997788585</v>
      </c>
      <c r="F13" s="18">
        <f t="shared" si="3"/>
        <v>0.42353899409488899</v>
      </c>
    </row>
    <row r="14" spans="2:6" x14ac:dyDescent="0.2">
      <c r="B14" s="10" t="s">
        <v>119</v>
      </c>
      <c r="C14" s="18"/>
      <c r="D14" s="18">
        <f>D12/C12-1</f>
        <v>0.23458767013610893</v>
      </c>
      <c r="E14" s="18">
        <f>E12/D12-1</f>
        <v>0.18612191958495461</v>
      </c>
      <c r="F14" s="18">
        <f>F12/E12-1</f>
        <v>0.13723346090760002</v>
      </c>
    </row>
    <row r="15" spans="2:6" x14ac:dyDescent="0.2">
      <c r="C15" s="13"/>
      <c r="D15" s="13"/>
      <c r="E15" s="13"/>
      <c r="F15" s="13"/>
    </row>
    <row r="16" spans="2:6" x14ac:dyDescent="0.2">
      <c r="B16" t="s">
        <v>120</v>
      </c>
      <c r="C16" s="13">
        <v>57.7</v>
      </c>
      <c r="D16" s="13">
        <v>65.900000000000006</v>
      </c>
      <c r="E16" s="13">
        <v>72.8</v>
      </c>
      <c r="F16" s="13">
        <v>83</v>
      </c>
    </row>
    <row r="17" spans="2:6" x14ac:dyDescent="0.2">
      <c r="B17" s="10" t="s">
        <v>117</v>
      </c>
      <c r="C17" s="18">
        <f>C16/C8</f>
        <v>0.18276845106113401</v>
      </c>
      <c r="D17" s="18">
        <f t="shared" ref="D17:F17" si="4">D16/D8</f>
        <v>0.1694087403598972</v>
      </c>
      <c r="E17" s="18">
        <f t="shared" si="4"/>
        <v>0.1609907120743034</v>
      </c>
      <c r="F17" s="18">
        <f t="shared" si="4"/>
        <v>0.16900834860517205</v>
      </c>
    </row>
    <row r="18" spans="2:6" x14ac:dyDescent="0.2">
      <c r="B18" t="s">
        <v>121</v>
      </c>
      <c r="C18" s="13">
        <v>46.3</v>
      </c>
      <c r="D18" s="13">
        <v>50</v>
      </c>
      <c r="E18" s="13">
        <v>53.5</v>
      </c>
      <c r="F18" s="13">
        <v>59.1</v>
      </c>
    </row>
    <row r="19" spans="2:6" x14ac:dyDescent="0.2">
      <c r="B19" s="10" t="s">
        <v>117</v>
      </c>
      <c r="C19" s="18">
        <f>C18/C8</f>
        <v>0.14665821982895152</v>
      </c>
      <c r="D19" s="18">
        <f t="shared" ref="D19:F19" si="5">D18/D8</f>
        <v>0.12853470437017994</v>
      </c>
      <c r="E19" s="18">
        <f t="shared" si="5"/>
        <v>0.11831048208757187</v>
      </c>
      <c r="F19" s="18">
        <f t="shared" si="5"/>
        <v>0.12034208918753818</v>
      </c>
    </row>
    <row r="20" spans="2:6" x14ac:dyDescent="0.2">
      <c r="B20" t="s">
        <v>122</v>
      </c>
      <c r="C20" s="13">
        <v>0</v>
      </c>
      <c r="D20" s="13">
        <v>0</v>
      </c>
      <c r="E20" s="13">
        <v>0</v>
      </c>
      <c r="F20" s="13">
        <v>0</v>
      </c>
    </row>
    <row r="21" spans="2:6" x14ac:dyDescent="0.2">
      <c r="B21" s="10" t="s">
        <v>117</v>
      </c>
      <c r="C21" s="18">
        <f>C20/C$8</f>
        <v>0</v>
      </c>
      <c r="D21" s="18">
        <f t="shared" ref="D21:F21" si="6">D20/D$8</f>
        <v>0</v>
      </c>
      <c r="E21" s="18">
        <f t="shared" si="6"/>
        <v>0</v>
      </c>
      <c r="F21" s="18">
        <f t="shared" si="6"/>
        <v>0</v>
      </c>
    </row>
    <row r="22" spans="2:6" x14ac:dyDescent="0.2">
      <c r="B22" t="s">
        <v>123</v>
      </c>
      <c r="C22" s="13">
        <v>0</v>
      </c>
      <c r="D22" s="13">
        <v>0</v>
      </c>
      <c r="E22" s="13">
        <v>0</v>
      </c>
      <c r="F22" s="13">
        <v>0</v>
      </c>
    </row>
    <row r="23" spans="2:6" x14ac:dyDescent="0.2">
      <c r="B23" s="11" t="s">
        <v>117</v>
      </c>
      <c r="C23" s="17">
        <f>C22/C$8</f>
        <v>0</v>
      </c>
      <c r="D23" s="17">
        <f t="shared" ref="D23" si="7">D22/D$8</f>
        <v>0</v>
      </c>
      <c r="E23" s="17">
        <f t="shared" ref="E23" si="8">E22/E$8</f>
        <v>0</v>
      </c>
      <c r="F23" s="17">
        <f t="shared" ref="F23" si="9">F22/F$8</f>
        <v>0</v>
      </c>
    </row>
    <row r="24" spans="2:6" x14ac:dyDescent="0.2">
      <c r="B24" s="8" t="s">
        <v>124</v>
      </c>
      <c r="C24" s="16">
        <f>C12-C16-C18-C20-C22</f>
        <v>20.899999999999977</v>
      </c>
      <c r="D24" s="16">
        <f t="shared" ref="D24:F24" si="10">D12-D16-D18-D20-D22</f>
        <v>38.299999999999983</v>
      </c>
      <c r="E24" s="16">
        <f t="shared" si="10"/>
        <v>56.59999999999998</v>
      </c>
      <c r="F24" s="16">
        <f t="shared" si="10"/>
        <v>65.900000000000006</v>
      </c>
    </row>
    <row r="25" spans="2:6" x14ac:dyDescent="0.2">
      <c r="B25" s="10" t="s">
        <v>117</v>
      </c>
      <c r="C25" s="18">
        <f>C24/C$8</f>
        <v>6.6202090592334423E-2</v>
      </c>
      <c r="D25" s="18">
        <f t="shared" ref="D25" si="11">D24/D$8</f>
        <v>9.8457583547557792E-2</v>
      </c>
      <c r="E25" s="18">
        <f t="shared" ref="E25" si="12">E24/E$8</f>
        <v>0.12516585581601058</v>
      </c>
      <c r="F25" s="18">
        <f t="shared" ref="F25" si="13">F24/F$8</f>
        <v>0.1341885563021788</v>
      </c>
    </row>
    <row r="26" spans="2:6" x14ac:dyDescent="0.2">
      <c r="B26" s="10" t="s">
        <v>125</v>
      </c>
      <c r="C26" s="18"/>
      <c r="D26" s="18">
        <f>D24/C24-1</f>
        <v>0.83253588516746535</v>
      </c>
      <c r="E26" s="18">
        <f t="shared" ref="E26:F26" si="14">E24/D24-1</f>
        <v>0.4778067885117494</v>
      </c>
      <c r="F26" s="18">
        <f t="shared" si="14"/>
        <v>0.16431095406360474</v>
      </c>
    </row>
    <row r="27" spans="2:6" x14ac:dyDescent="0.2">
      <c r="C27" s="13"/>
      <c r="D27" s="13"/>
      <c r="E27" s="13"/>
      <c r="F27" s="13"/>
    </row>
    <row r="28" spans="2:6" x14ac:dyDescent="0.2">
      <c r="B28" t="s">
        <v>126</v>
      </c>
      <c r="C28" s="13">
        <v>0</v>
      </c>
      <c r="D28" s="13">
        <v>0</v>
      </c>
      <c r="E28" s="13">
        <v>0</v>
      </c>
      <c r="F28" s="13">
        <v>0</v>
      </c>
    </row>
    <row r="29" spans="2:6" x14ac:dyDescent="0.2">
      <c r="B29" s="10" t="s">
        <v>127</v>
      </c>
      <c r="C29" s="14" t="s">
        <v>19</v>
      </c>
      <c r="D29" s="14" t="s">
        <v>19</v>
      </c>
      <c r="E29" s="14" t="s">
        <v>19</v>
      </c>
      <c r="F29" s="14" t="s">
        <v>19</v>
      </c>
    </row>
    <row r="30" spans="2:6" x14ac:dyDescent="0.2">
      <c r="B30" t="s">
        <v>128</v>
      </c>
      <c r="C30" s="13">
        <v>6.5</v>
      </c>
      <c r="D30" s="13">
        <v>5.8</v>
      </c>
      <c r="E30" s="13">
        <v>8.1999999999999993</v>
      </c>
      <c r="F30" s="13">
        <v>8.5</v>
      </c>
    </row>
    <row r="31" spans="2:6" x14ac:dyDescent="0.2">
      <c r="B31" s="11" t="s">
        <v>129</v>
      </c>
      <c r="C31" s="17" t="s">
        <v>19</v>
      </c>
      <c r="D31" s="17" t="s">
        <v>19</v>
      </c>
      <c r="E31" s="17" t="s">
        <v>19</v>
      </c>
      <c r="F31" s="17">
        <v>0.14499999999999999</v>
      </c>
    </row>
    <row r="32" spans="2:6" x14ac:dyDescent="0.2">
      <c r="B32" s="8" t="s">
        <v>130</v>
      </c>
      <c r="C32" s="16">
        <f>C24-C28-C30</f>
        <v>14.399999999999977</v>
      </c>
      <c r="D32" s="16">
        <f t="shared" ref="D32:F32" si="15">D24-D28-D30</f>
        <v>32.499999999999986</v>
      </c>
      <c r="E32" s="16">
        <f t="shared" si="15"/>
        <v>48.399999999999977</v>
      </c>
      <c r="F32" s="16">
        <f t="shared" si="15"/>
        <v>57.400000000000006</v>
      </c>
    </row>
    <row r="33" spans="2:6" x14ac:dyDescent="0.2">
      <c r="B33" s="10" t="s">
        <v>117</v>
      </c>
      <c r="C33" s="18">
        <f>C32/C$8</f>
        <v>4.561292366170408E-2</v>
      </c>
      <c r="D33" s="18">
        <f t="shared" ref="D33" si="16">D32/D$8</f>
        <v>8.3547557840616932E-2</v>
      </c>
      <c r="E33" s="18">
        <f t="shared" ref="E33" si="17">E32/E$8</f>
        <v>0.10703228659885002</v>
      </c>
      <c r="F33" s="18">
        <f t="shared" ref="F33" si="18">F32/F$8</f>
        <v>0.11688047240887804</v>
      </c>
    </row>
    <row r="34" spans="2:6" x14ac:dyDescent="0.2">
      <c r="B34" s="10" t="s">
        <v>131</v>
      </c>
      <c r="C34" s="18"/>
      <c r="D34" s="18">
        <f>D32/C32-1</f>
        <v>1.2569444444444469</v>
      </c>
      <c r="E34" s="18">
        <f t="shared" ref="E34:F34" si="19">E32/D32-1</f>
        <v>0.48923076923076914</v>
      </c>
      <c r="F34" s="18">
        <f t="shared" si="19"/>
        <v>0.1859504132231411</v>
      </c>
    </row>
    <row r="35" spans="2:6" x14ac:dyDescent="0.2">
      <c r="C35" s="13"/>
      <c r="D35" s="13"/>
      <c r="E35" s="13"/>
      <c r="F35" s="13"/>
    </row>
    <row r="36" spans="2:6" x14ac:dyDescent="0.2">
      <c r="B36" s="9" t="s">
        <v>132</v>
      </c>
      <c r="C36" s="15">
        <v>0</v>
      </c>
      <c r="D36" s="15">
        <v>0</v>
      </c>
      <c r="E36" s="15">
        <v>0</v>
      </c>
      <c r="F36" s="15">
        <v>0</v>
      </c>
    </row>
    <row r="37" spans="2:6" x14ac:dyDescent="0.2">
      <c r="B37" s="8" t="s">
        <v>133</v>
      </c>
      <c r="C37" s="16">
        <f>C32-C36</f>
        <v>14.399999999999977</v>
      </c>
      <c r="D37" s="16">
        <f t="shared" ref="D37:F37" si="20">D32-D36</f>
        <v>32.499999999999986</v>
      </c>
      <c r="E37" s="16">
        <f t="shared" si="20"/>
        <v>48.399999999999977</v>
      </c>
      <c r="F37" s="16">
        <f t="shared" si="20"/>
        <v>57.400000000000006</v>
      </c>
    </row>
    <row r="38" spans="2:6" x14ac:dyDescent="0.2">
      <c r="B38" s="10" t="s">
        <v>117</v>
      </c>
      <c r="C38" s="18">
        <f>C37/C$8</f>
        <v>4.561292366170408E-2</v>
      </c>
      <c r="D38" s="18">
        <f t="shared" ref="D38" si="21">D37/D$8</f>
        <v>8.3547557840616932E-2</v>
      </c>
      <c r="E38" s="18">
        <f t="shared" ref="E38" si="22">E37/E$8</f>
        <v>0.10703228659885002</v>
      </c>
      <c r="F38" s="18">
        <f t="shared" ref="F38" si="23">F37/F$8</f>
        <v>0.11688047240887804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097B-F075-794E-9B13-B9CB2E06665A}">
  <dimension ref="B2:M25"/>
  <sheetViews>
    <sheetView tabSelected="1" zoomScaleNormal="100" workbookViewId="0">
      <selection activeCell="I38" sqref="I38"/>
    </sheetView>
  </sheetViews>
  <sheetFormatPr baseColWidth="10" defaultColWidth="28.7109375" defaultRowHeight="13" x14ac:dyDescent="0.15"/>
  <cols>
    <col min="1" max="1" width="2.42578125" style="139" customWidth="1"/>
    <col min="2" max="2" width="31.42578125" style="139" customWidth="1"/>
    <col min="3" max="11" width="7.5703125" style="140" customWidth="1"/>
    <col min="12" max="12" width="15.140625" style="139" customWidth="1"/>
    <col min="13" max="16384" width="28.7109375" style="139"/>
  </cols>
  <sheetData>
    <row r="2" spans="2:13" ht="18" x14ac:dyDescent="0.2">
      <c r="B2" s="141" t="s">
        <v>499</v>
      </c>
    </row>
    <row r="3" spans="2:13" x14ac:dyDescent="0.15">
      <c r="B3" s="69"/>
      <c r="C3" s="37" t="s">
        <v>508</v>
      </c>
      <c r="D3" s="37" t="s">
        <v>507</v>
      </c>
      <c r="E3" s="37" t="s">
        <v>506</v>
      </c>
      <c r="F3" s="37" t="s">
        <v>505</v>
      </c>
      <c r="G3" s="37" t="s">
        <v>504</v>
      </c>
      <c r="H3" s="37" t="s">
        <v>503</v>
      </c>
      <c r="I3" s="37" t="s">
        <v>502</v>
      </c>
      <c r="J3" s="37" t="s">
        <v>501</v>
      </c>
      <c r="K3" s="37" t="s">
        <v>500</v>
      </c>
      <c r="L3" s="236" t="s">
        <v>509</v>
      </c>
    </row>
    <row r="4" spans="2:13" x14ac:dyDescent="0.15">
      <c r="B4" s="139" t="s">
        <v>55</v>
      </c>
      <c r="C4" s="140">
        <v>315.7</v>
      </c>
      <c r="D4" s="214">
        <v>389</v>
      </c>
      <c r="E4" s="140">
        <v>452.2</v>
      </c>
      <c r="F4" s="191">
        <v>491.1</v>
      </c>
      <c r="G4" s="214">
        <v>536</v>
      </c>
      <c r="H4" s="140">
        <v>592.4</v>
      </c>
      <c r="I4" s="140">
        <v>657.4</v>
      </c>
      <c r="J4" s="140">
        <v>728.9</v>
      </c>
      <c r="K4" s="140">
        <v>774.7</v>
      </c>
      <c r="L4" s="245">
        <f>(K4/F4)^(1/(2026-2021))-1</f>
        <v>9.545041535795562E-2</v>
      </c>
      <c r="M4" s="244"/>
    </row>
    <row r="5" spans="2:13" s="237" customFormat="1" ht="11" x14ac:dyDescent="0.15">
      <c r="B5" s="237" t="s">
        <v>498</v>
      </c>
      <c r="C5" s="43" t="s">
        <v>19</v>
      </c>
      <c r="D5" s="44">
        <f>D4/C4-1</f>
        <v>0.23218245169464691</v>
      </c>
      <c r="E5" s="44">
        <f>E4/D4-1</f>
        <v>0.16246786632390742</v>
      </c>
      <c r="F5" s="239">
        <f t="shared" ref="F5:K5" si="0">F4/E4-1</f>
        <v>8.6023883237505538E-2</v>
      </c>
      <c r="G5" s="44">
        <f t="shared" si="0"/>
        <v>9.1427407859906218E-2</v>
      </c>
      <c r="H5" s="44">
        <f t="shared" si="0"/>
        <v>0.10522388059701493</v>
      </c>
      <c r="I5" s="44">
        <f t="shared" si="0"/>
        <v>0.10972316002700877</v>
      </c>
      <c r="J5" s="44">
        <f t="shared" si="0"/>
        <v>0.10876178886522658</v>
      </c>
      <c r="K5" s="44">
        <f t="shared" si="0"/>
        <v>6.2834408012073073E-2</v>
      </c>
      <c r="L5" s="238"/>
    </row>
    <row r="6" spans="2:13" ht="20.25" customHeight="1" x14ac:dyDescent="0.15">
      <c r="B6" s="139" t="s">
        <v>124</v>
      </c>
      <c r="C6" s="214">
        <v>21</v>
      </c>
      <c r="D6" s="140">
        <v>38.4</v>
      </c>
      <c r="E6" s="140">
        <v>56.7</v>
      </c>
      <c r="F6" s="191">
        <v>65.900000000000006</v>
      </c>
      <c r="G6" s="140">
        <v>65.5</v>
      </c>
      <c r="H6" s="140">
        <v>81.099999999999994</v>
      </c>
      <c r="I6" s="214">
        <v>97</v>
      </c>
      <c r="J6" s="140">
        <v>108.4</v>
      </c>
      <c r="K6" s="214">
        <v>122</v>
      </c>
      <c r="L6" s="245">
        <f>(K6/F6)^(1/(2026-2021))-1</f>
        <v>0.13108406301480402</v>
      </c>
    </row>
    <row r="7" spans="2:13" s="237" customFormat="1" ht="11" x14ac:dyDescent="0.15">
      <c r="B7" s="237" t="s">
        <v>105</v>
      </c>
      <c r="C7" s="44">
        <f>C6/C4</f>
        <v>6.6518847006651893E-2</v>
      </c>
      <c r="D7" s="44">
        <f t="shared" ref="D7:K7" si="1">D6/D4</f>
        <v>9.8714652956298193E-2</v>
      </c>
      <c r="E7" s="44">
        <f t="shared" si="1"/>
        <v>0.12538699690402477</v>
      </c>
      <c r="F7" s="239">
        <f t="shared" si="1"/>
        <v>0.1341885563021788</v>
      </c>
      <c r="G7" s="44">
        <f t="shared" si="1"/>
        <v>0.12220149253731344</v>
      </c>
      <c r="H7" s="44">
        <f t="shared" si="1"/>
        <v>0.13690074274139094</v>
      </c>
      <c r="I7" s="44">
        <f t="shared" si="1"/>
        <v>0.14755095832065715</v>
      </c>
      <c r="J7" s="44">
        <f t="shared" si="1"/>
        <v>0.14871724516394569</v>
      </c>
      <c r="K7" s="44">
        <f t="shared" si="1"/>
        <v>0.15748031496062992</v>
      </c>
      <c r="L7" s="238"/>
    </row>
    <row r="8" spans="2:13" ht="19.5" customHeight="1" x14ac:dyDescent="0.15">
      <c r="B8" s="139" t="s">
        <v>130</v>
      </c>
      <c r="C8" s="140">
        <v>14.5</v>
      </c>
      <c r="D8" s="140">
        <v>32.6</v>
      </c>
      <c r="E8" s="140">
        <v>48.5</v>
      </c>
      <c r="F8" s="191">
        <v>57.4</v>
      </c>
      <c r="G8" s="140">
        <v>56.5</v>
      </c>
      <c r="H8" s="140">
        <v>70.599999999999994</v>
      </c>
      <c r="I8" s="140">
        <v>84.6</v>
      </c>
      <c r="J8" s="140">
        <v>93.3</v>
      </c>
      <c r="K8" s="214">
        <v>105</v>
      </c>
      <c r="L8" s="245">
        <f>(K8/F8)^(1/(2026-2021))-1</f>
        <v>0.12838026357723709</v>
      </c>
    </row>
    <row r="9" spans="2:13" s="237" customFormat="1" ht="11" x14ac:dyDescent="0.15">
      <c r="B9" s="237" t="s">
        <v>106</v>
      </c>
      <c r="C9" s="44">
        <f>C8/C4</f>
        <v>4.5929680076021544E-2</v>
      </c>
      <c r="D9" s="44">
        <f t="shared" ref="D9:K9" si="2">D8/D4</f>
        <v>8.3804627249357333E-2</v>
      </c>
      <c r="E9" s="44">
        <f t="shared" si="2"/>
        <v>0.10725342768686422</v>
      </c>
      <c r="F9" s="239">
        <f t="shared" si="2"/>
        <v>0.11688047240887801</v>
      </c>
      <c r="G9" s="44">
        <f t="shared" si="2"/>
        <v>0.10541044776119403</v>
      </c>
      <c r="H9" s="44">
        <f t="shared" si="2"/>
        <v>0.11917623227548953</v>
      </c>
      <c r="I9" s="44">
        <f t="shared" si="2"/>
        <v>0.12868877395801642</v>
      </c>
      <c r="J9" s="44">
        <f t="shared" si="2"/>
        <v>0.12800109754424474</v>
      </c>
      <c r="K9" s="44">
        <f t="shared" si="2"/>
        <v>0.13553633664644377</v>
      </c>
      <c r="L9" s="238"/>
    </row>
    <row r="10" spans="2:13" ht="19.5" customHeight="1" x14ac:dyDescent="0.15">
      <c r="B10" s="139" t="s">
        <v>472</v>
      </c>
      <c r="C10" s="140">
        <v>14.5</v>
      </c>
      <c r="D10" s="140">
        <v>32.6</v>
      </c>
      <c r="E10" s="140">
        <v>48.5</v>
      </c>
      <c r="F10" s="191">
        <v>57.4</v>
      </c>
      <c r="G10" s="140">
        <v>7.4</v>
      </c>
      <c r="H10" s="140">
        <v>26</v>
      </c>
      <c r="I10" s="140">
        <v>38.5</v>
      </c>
      <c r="J10" s="140">
        <v>47.6</v>
      </c>
      <c r="K10" s="140">
        <v>59.3</v>
      </c>
      <c r="L10" s="245">
        <f>(K10/F10)^(1/(2026-2021))-1</f>
        <v>6.5342562447119334E-3</v>
      </c>
    </row>
    <row r="11" spans="2:13" x14ac:dyDescent="0.15">
      <c r="F11" s="191"/>
      <c r="L11" s="229"/>
    </row>
    <row r="12" spans="2:13" x14ac:dyDescent="0.15">
      <c r="B12" s="139" t="s">
        <v>453</v>
      </c>
      <c r="C12" s="140" t="s">
        <v>19</v>
      </c>
      <c r="D12" s="140" t="s">
        <v>19</v>
      </c>
      <c r="E12" s="140">
        <v>211.9</v>
      </c>
      <c r="F12" s="191">
        <v>850.3</v>
      </c>
      <c r="G12" s="140">
        <v>816.6</v>
      </c>
      <c r="H12" s="140">
        <v>803</v>
      </c>
      <c r="I12" s="140">
        <v>812.6</v>
      </c>
      <c r="J12" s="140">
        <v>811.8</v>
      </c>
      <c r="K12" s="140">
        <v>794.7</v>
      </c>
    </row>
    <row r="13" spans="2:13" x14ac:dyDescent="0.15">
      <c r="B13" s="139" t="s">
        <v>497</v>
      </c>
      <c r="C13" s="140">
        <v>63.2</v>
      </c>
      <c r="D13" s="140">
        <v>72.400000000000006</v>
      </c>
      <c r="E13" s="140">
        <v>90.5</v>
      </c>
      <c r="F13" s="191">
        <v>116.7</v>
      </c>
      <c r="G13" s="140">
        <v>113.3</v>
      </c>
      <c r="H13" s="140">
        <v>118.6</v>
      </c>
      <c r="I13" s="140">
        <v>125.8</v>
      </c>
      <c r="J13" s="140">
        <v>135</v>
      </c>
      <c r="K13" s="140">
        <v>138.5</v>
      </c>
    </row>
    <row r="14" spans="2:13" x14ac:dyDescent="0.15">
      <c r="B14" s="139" t="s">
        <v>496</v>
      </c>
      <c r="C14" s="140" t="s">
        <v>19</v>
      </c>
      <c r="D14" s="140" t="s">
        <v>19</v>
      </c>
      <c r="E14" s="140">
        <v>149.19999999999999</v>
      </c>
      <c r="F14" s="191">
        <v>668.1</v>
      </c>
      <c r="G14" s="140">
        <v>367.3</v>
      </c>
      <c r="H14" s="140">
        <v>379.1</v>
      </c>
      <c r="I14" s="140">
        <v>402.4</v>
      </c>
      <c r="J14" s="140">
        <v>433.9</v>
      </c>
      <c r="K14" s="140">
        <v>476.8</v>
      </c>
    </row>
    <row r="15" spans="2:13" x14ac:dyDescent="0.15">
      <c r="B15" s="139" t="s">
        <v>495</v>
      </c>
      <c r="C15" s="140" t="s">
        <v>19</v>
      </c>
      <c r="D15" s="140" t="s">
        <v>19</v>
      </c>
      <c r="E15" s="140">
        <v>0</v>
      </c>
      <c r="F15" s="191">
        <v>-7.8</v>
      </c>
      <c r="G15" s="140">
        <v>308.3</v>
      </c>
      <c r="H15" s="140">
        <v>290.3</v>
      </c>
      <c r="I15" s="140">
        <v>255.3</v>
      </c>
      <c r="J15" s="140">
        <v>206.4</v>
      </c>
      <c r="K15" s="140">
        <v>133.19999999999999</v>
      </c>
    </row>
    <row r="16" spans="2:13" x14ac:dyDescent="0.15">
      <c r="B16" s="139" t="s">
        <v>494</v>
      </c>
      <c r="C16" s="140" t="s">
        <v>19</v>
      </c>
      <c r="D16" s="140" t="s">
        <v>19</v>
      </c>
      <c r="E16" s="140">
        <v>149.19999999999999</v>
      </c>
      <c r="F16" s="191">
        <v>713.6</v>
      </c>
      <c r="G16" s="140">
        <v>749.6</v>
      </c>
      <c r="H16" s="140">
        <v>729</v>
      </c>
      <c r="I16" s="140">
        <v>730.5</v>
      </c>
      <c r="J16" s="140">
        <v>720.7</v>
      </c>
      <c r="K16" s="140">
        <v>697.9</v>
      </c>
    </row>
    <row r="17" spans="2:11" x14ac:dyDescent="0.15">
      <c r="F17" s="191"/>
    </row>
    <row r="18" spans="2:11" s="230" customFormat="1" x14ac:dyDescent="0.15">
      <c r="C18" s="231"/>
      <c r="D18" s="231"/>
      <c r="E18" s="231" t="s">
        <v>493</v>
      </c>
      <c r="F18" s="232"/>
      <c r="G18" s="231"/>
      <c r="H18" s="231"/>
      <c r="I18" s="231"/>
      <c r="J18" s="231"/>
      <c r="K18" s="231"/>
    </row>
    <row r="19" spans="2:11" x14ac:dyDescent="0.15">
      <c r="B19" s="139" t="s">
        <v>405</v>
      </c>
      <c r="C19" s="140" t="s">
        <v>19</v>
      </c>
      <c r="D19" s="140">
        <v>29.2</v>
      </c>
      <c r="E19" s="140">
        <v>38.6</v>
      </c>
      <c r="F19" s="191">
        <v>39.6</v>
      </c>
      <c r="G19" s="140">
        <v>34.5</v>
      </c>
      <c r="H19" s="140">
        <v>46.7</v>
      </c>
      <c r="I19" s="140">
        <v>58.3</v>
      </c>
      <c r="J19" s="140">
        <v>67.099999999999994</v>
      </c>
      <c r="K19" s="140">
        <v>86</v>
      </c>
    </row>
    <row r="20" spans="2:11" x14ac:dyDescent="0.15">
      <c r="B20" s="139" t="s">
        <v>396</v>
      </c>
      <c r="C20" s="140" t="s">
        <v>19</v>
      </c>
      <c r="D20" s="140">
        <v>-7</v>
      </c>
      <c r="E20" s="140">
        <v>-13</v>
      </c>
      <c r="F20" s="191">
        <v>-12.7</v>
      </c>
      <c r="G20" s="140">
        <v>-27.6</v>
      </c>
      <c r="H20" s="140">
        <v>-28.8</v>
      </c>
      <c r="I20" s="140">
        <v>-23.3</v>
      </c>
      <c r="J20" s="140">
        <v>-18.100000000000001</v>
      </c>
      <c r="K20" s="140">
        <v>-12.9</v>
      </c>
    </row>
    <row r="21" spans="2:11" x14ac:dyDescent="0.15">
      <c r="B21" s="233" t="s">
        <v>395</v>
      </c>
      <c r="C21" s="240" t="s">
        <v>19</v>
      </c>
      <c r="D21" s="234">
        <v>22.2</v>
      </c>
      <c r="E21" s="234">
        <v>25.6</v>
      </c>
      <c r="F21" s="235">
        <v>26.9</v>
      </c>
      <c r="G21" s="234">
        <v>6.9</v>
      </c>
      <c r="H21" s="234">
        <v>17.899999999999999</v>
      </c>
      <c r="I21" s="234">
        <v>35</v>
      </c>
      <c r="J21" s="234">
        <v>49</v>
      </c>
      <c r="K21" s="234">
        <v>73.099999999999994</v>
      </c>
    </row>
    <row r="22" spans="2:11" x14ac:dyDescent="0.15">
      <c r="F22" s="191"/>
    </row>
    <row r="23" spans="2:11" x14ac:dyDescent="0.15">
      <c r="B23" s="148" t="s">
        <v>492</v>
      </c>
      <c r="F23" s="191"/>
    </row>
    <row r="24" spans="2:11" x14ac:dyDescent="0.15">
      <c r="B24" s="139" t="s">
        <v>491</v>
      </c>
      <c r="C24" s="140" t="s">
        <v>19</v>
      </c>
      <c r="D24" s="140" t="s">
        <v>19</v>
      </c>
      <c r="E24" s="212">
        <v>0.24399999999999999</v>
      </c>
      <c r="F24" s="242">
        <v>0.28699999999999998</v>
      </c>
      <c r="G24" s="212">
        <v>0.19800000000000001</v>
      </c>
      <c r="H24" s="212">
        <v>0.23899999999999999</v>
      </c>
      <c r="I24" s="212">
        <v>0.252</v>
      </c>
      <c r="J24" s="212">
        <v>0.26</v>
      </c>
      <c r="K24" s="212">
        <v>0.28599999999999998</v>
      </c>
    </row>
    <row r="25" spans="2:11" x14ac:dyDescent="0.15">
      <c r="B25" s="233" t="s">
        <v>490</v>
      </c>
      <c r="C25" s="241">
        <f>C13/C4</f>
        <v>0.20019005384859045</v>
      </c>
      <c r="D25" s="241">
        <f t="shared" ref="D25:K25" si="3">D13/D4</f>
        <v>0.18611825192802059</v>
      </c>
      <c r="E25" s="241">
        <f t="shared" si="3"/>
        <v>0.20013268465280851</v>
      </c>
      <c r="F25" s="243">
        <f t="shared" si="3"/>
        <v>0.23762981062919974</v>
      </c>
      <c r="G25" s="241">
        <f t="shared" si="3"/>
        <v>0.21138059701492537</v>
      </c>
      <c r="H25" s="241">
        <f t="shared" si="3"/>
        <v>0.20020256583389601</v>
      </c>
      <c r="I25" s="241">
        <f t="shared" si="3"/>
        <v>0.1913599026467904</v>
      </c>
      <c r="J25" s="241">
        <f t="shared" si="3"/>
        <v>0.18521059130196188</v>
      </c>
      <c r="K25" s="241">
        <f t="shared" si="3"/>
        <v>0.17877888214792823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ECD9-A91D-D14D-AB6A-74F90475DE5C}">
  <dimension ref="B2:G27"/>
  <sheetViews>
    <sheetView zoomScale="110" zoomScaleNormal="100" workbookViewId="0">
      <selection activeCell="B14" sqref="B14:B15"/>
    </sheetView>
  </sheetViews>
  <sheetFormatPr baseColWidth="10" defaultColWidth="9.42578125" defaultRowHeight="13" x14ac:dyDescent="0.15"/>
  <cols>
    <col min="1" max="1" width="2.5703125" style="139" customWidth="1"/>
    <col min="2" max="2" width="31" style="139" customWidth="1"/>
    <col min="3" max="3" width="6.5703125" style="140" customWidth="1"/>
    <col min="4" max="4" width="9.42578125" style="140"/>
    <col min="5" max="5" width="37.5703125" style="139" bestFit="1" customWidth="1"/>
    <col min="6" max="7" width="9.42578125" style="140"/>
    <col min="8" max="16384" width="9.42578125" style="139"/>
  </cols>
  <sheetData>
    <row r="2" spans="2:7" x14ac:dyDescent="0.15">
      <c r="B2" s="148" t="s">
        <v>523</v>
      </c>
      <c r="E2" s="148" t="s">
        <v>525</v>
      </c>
    </row>
    <row r="3" spans="2:7" x14ac:dyDescent="0.15">
      <c r="B3" s="253"/>
      <c r="C3" s="37" t="s">
        <v>112</v>
      </c>
      <c r="E3" s="69"/>
      <c r="F3" s="37" t="s">
        <v>528</v>
      </c>
      <c r="G3" s="37" t="s">
        <v>504</v>
      </c>
    </row>
    <row r="4" spans="2:7" x14ac:dyDescent="0.15">
      <c r="B4" s="139" t="s">
        <v>526</v>
      </c>
      <c r="C4" s="223">
        <v>668</v>
      </c>
      <c r="E4" s="139" t="s">
        <v>523</v>
      </c>
      <c r="F4" s="223">
        <v>660</v>
      </c>
      <c r="G4" s="223">
        <v>660</v>
      </c>
    </row>
    <row r="5" spans="2:7" x14ac:dyDescent="0.15">
      <c r="B5" s="139" t="s">
        <v>524</v>
      </c>
      <c r="C5" s="223">
        <v>88</v>
      </c>
      <c r="E5" s="139" t="s">
        <v>529</v>
      </c>
    </row>
    <row r="6" spans="2:7" x14ac:dyDescent="0.15">
      <c r="B6" s="139" t="s">
        <v>522</v>
      </c>
      <c r="C6" s="223">
        <v>80</v>
      </c>
      <c r="E6" s="233" t="s">
        <v>530</v>
      </c>
      <c r="F6" s="247">
        <v>-35</v>
      </c>
      <c r="G6" s="247">
        <v>-35</v>
      </c>
    </row>
    <row r="7" spans="2:7" ht="14" thickBot="1" x14ac:dyDescent="0.2">
      <c r="B7" s="156" t="s">
        <v>521</v>
      </c>
      <c r="C7" s="246">
        <v>0</v>
      </c>
      <c r="E7" s="139" t="s">
        <v>520</v>
      </c>
      <c r="F7" s="223">
        <f>SUM(F4:F6)</f>
        <v>625</v>
      </c>
      <c r="G7" s="223">
        <f>SUM(G4:G6)</f>
        <v>625</v>
      </c>
    </row>
    <row r="8" spans="2:7" x14ac:dyDescent="0.15">
      <c r="B8" s="139" t="s">
        <v>527</v>
      </c>
      <c r="C8" s="223">
        <v>660</v>
      </c>
    </row>
    <row r="9" spans="2:7" x14ac:dyDescent="0.15">
      <c r="E9" s="139" t="s">
        <v>124</v>
      </c>
      <c r="F9" s="223">
        <v>65.900000000000006</v>
      </c>
      <c r="G9" s="223">
        <v>65.5</v>
      </c>
    </row>
    <row r="10" spans="2:7" ht="14" thickBot="1" x14ac:dyDescent="0.2">
      <c r="B10" s="156" t="s">
        <v>519</v>
      </c>
      <c r="C10" s="246">
        <v>30</v>
      </c>
      <c r="E10" s="139" t="s">
        <v>130</v>
      </c>
      <c r="F10" s="223">
        <v>57.4</v>
      </c>
      <c r="G10" s="223">
        <v>56.5</v>
      </c>
    </row>
    <row r="11" spans="2:7" ht="14" thickBot="1" x14ac:dyDescent="0.2">
      <c r="E11" s="248"/>
      <c r="F11" s="249"/>
      <c r="G11" s="249"/>
    </row>
    <row r="12" spans="2:7" ht="14" thickTop="1" x14ac:dyDescent="0.15">
      <c r="B12" s="251" t="s">
        <v>518</v>
      </c>
      <c r="C12" s="252">
        <f>SUM(C10,C8)</f>
        <v>690</v>
      </c>
      <c r="E12" s="148" t="s">
        <v>4</v>
      </c>
      <c r="F12" s="250" t="s">
        <v>178</v>
      </c>
      <c r="G12" s="250" t="s">
        <v>178</v>
      </c>
    </row>
    <row r="13" spans="2:7" x14ac:dyDescent="0.15">
      <c r="C13" s="223"/>
      <c r="E13" s="251" t="s">
        <v>96</v>
      </c>
      <c r="F13" s="252" t="s">
        <v>186</v>
      </c>
      <c r="G13" s="252" t="s">
        <v>208</v>
      </c>
    </row>
    <row r="14" spans="2:7" x14ac:dyDescent="0.15">
      <c r="B14" s="148" t="s">
        <v>517</v>
      </c>
      <c r="F14" s="139"/>
      <c r="G14" s="139"/>
    </row>
    <row r="15" spans="2:7" x14ac:dyDescent="0.15">
      <c r="B15" s="253"/>
      <c r="C15" s="37" t="s">
        <v>112</v>
      </c>
      <c r="F15" s="139"/>
      <c r="G15" s="139"/>
    </row>
    <row r="16" spans="2:7" x14ac:dyDescent="0.15">
      <c r="B16" s="139" t="s">
        <v>531</v>
      </c>
      <c r="C16" s="223">
        <v>150</v>
      </c>
      <c r="D16" s="254"/>
    </row>
    <row r="17" spans="2:4" x14ac:dyDescent="0.15">
      <c r="B17" s="139" t="s">
        <v>532</v>
      </c>
      <c r="C17" s="223">
        <v>150</v>
      </c>
      <c r="D17" s="254"/>
    </row>
    <row r="18" spans="2:4" x14ac:dyDescent="0.15">
      <c r="B18" s="139" t="s">
        <v>516</v>
      </c>
      <c r="C18" s="223">
        <v>75</v>
      </c>
      <c r="D18" s="254"/>
    </row>
    <row r="19" spans="2:4" x14ac:dyDescent="0.15">
      <c r="B19" s="233" t="s">
        <v>515</v>
      </c>
      <c r="C19" s="247">
        <v>0</v>
      </c>
      <c r="D19" s="254"/>
    </row>
    <row r="20" spans="2:4" x14ac:dyDescent="0.15">
      <c r="B20" s="148" t="s">
        <v>514</v>
      </c>
      <c r="C20" s="250">
        <f>SUM(C16:C19)</f>
        <v>375</v>
      </c>
      <c r="D20" s="254"/>
    </row>
    <row r="21" spans="2:4" x14ac:dyDescent="0.15">
      <c r="C21" s="223"/>
      <c r="D21" s="255"/>
    </row>
    <row r="22" spans="2:4" x14ac:dyDescent="0.15">
      <c r="B22" s="139" t="s">
        <v>513</v>
      </c>
      <c r="C22" s="223">
        <v>0</v>
      </c>
      <c r="D22" s="254"/>
    </row>
    <row r="23" spans="2:4" x14ac:dyDescent="0.15">
      <c r="B23" s="139" t="s">
        <v>512</v>
      </c>
      <c r="C23" s="223">
        <v>100</v>
      </c>
      <c r="D23" s="254"/>
    </row>
    <row r="24" spans="2:4" x14ac:dyDescent="0.15">
      <c r="B24" s="233" t="s">
        <v>511</v>
      </c>
      <c r="C24" s="247">
        <v>215</v>
      </c>
      <c r="D24" s="254"/>
    </row>
    <row r="25" spans="2:4" x14ac:dyDescent="0.15">
      <c r="B25" s="139" t="s">
        <v>436</v>
      </c>
      <c r="C25" s="250">
        <f>SUM(C22:C24)</f>
        <v>315</v>
      </c>
      <c r="D25" s="254"/>
    </row>
    <row r="26" spans="2:4" x14ac:dyDescent="0.15">
      <c r="C26" s="223"/>
    </row>
    <row r="27" spans="2:4" x14ac:dyDescent="0.15">
      <c r="B27" s="251" t="s">
        <v>510</v>
      </c>
      <c r="C27" s="252">
        <f>SUM(C25,C20)</f>
        <v>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3B4C-3105-9544-BDB6-8FBFB7BE8A31}">
  <dimension ref="B2:T24"/>
  <sheetViews>
    <sheetView zoomScaleNormal="100" workbookViewId="0">
      <selection activeCell="M10" sqref="M10"/>
    </sheetView>
  </sheetViews>
  <sheetFormatPr baseColWidth="10" defaultColWidth="9.42578125" defaultRowHeight="13" x14ac:dyDescent="0.15"/>
  <cols>
    <col min="1" max="1" width="3.140625" style="139" customWidth="1"/>
    <col min="2" max="2" width="8.42578125" style="148" customWidth="1"/>
    <col min="3" max="3" width="8.140625" style="138" customWidth="1"/>
    <col min="4" max="10" width="5.42578125" style="139" customWidth="1"/>
    <col min="11" max="11" width="9.42578125" style="139"/>
    <col min="12" max="12" width="9.5703125" style="139" customWidth="1"/>
    <col min="13" max="13" width="9.140625" style="139" bestFit="1" customWidth="1"/>
    <col min="14" max="20" width="6.28515625" style="139" customWidth="1"/>
    <col min="21" max="16384" width="9.42578125" style="139"/>
  </cols>
  <sheetData>
    <row r="2" spans="2:20" s="148" customFormat="1" x14ac:dyDescent="0.15">
      <c r="B2" s="226" t="s">
        <v>489</v>
      </c>
      <c r="C2" s="227"/>
      <c r="D2" s="221">
        <v>-0.05</v>
      </c>
      <c r="E2" s="221">
        <v>0</v>
      </c>
      <c r="F2" s="221">
        <v>0.05</v>
      </c>
      <c r="G2" s="221">
        <v>0.1</v>
      </c>
      <c r="H2" s="221">
        <v>0.15</v>
      </c>
      <c r="I2" s="221">
        <v>0.2</v>
      </c>
      <c r="J2" s="221">
        <v>0.25</v>
      </c>
      <c r="K2" s="222"/>
      <c r="L2" s="226" t="s">
        <v>489</v>
      </c>
      <c r="M2" s="227"/>
      <c r="N2" s="221">
        <v>-0.05</v>
      </c>
      <c r="O2" s="221">
        <v>0</v>
      </c>
      <c r="P2" s="221">
        <v>0.05</v>
      </c>
      <c r="Q2" s="221">
        <v>0.1</v>
      </c>
      <c r="R2" s="221">
        <v>0.15</v>
      </c>
      <c r="S2" s="221">
        <v>0.2</v>
      </c>
      <c r="T2" s="221">
        <v>0.25</v>
      </c>
    </row>
    <row r="3" spans="2:20" ht="13" customHeight="1" x14ac:dyDescent="0.15">
      <c r="B3" s="256" t="s">
        <v>488</v>
      </c>
      <c r="C3" s="36">
        <v>1</v>
      </c>
      <c r="D3" s="223">
        <v>285</v>
      </c>
      <c r="E3" s="223">
        <v>300</v>
      </c>
      <c r="F3" s="223">
        <v>315</v>
      </c>
      <c r="G3" s="223">
        <v>330</v>
      </c>
      <c r="H3" s="223">
        <v>345</v>
      </c>
      <c r="I3" s="223">
        <v>360</v>
      </c>
      <c r="J3" s="223">
        <v>375</v>
      </c>
      <c r="K3" s="223"/>
      <c r="L3" s="256" t="s">
        <v>488</v>
      </c>
      <c r="M3" s="36">
        <v>1</v>
      </c>
      <c r="N3" s="228">
        <v>0.188</v>
      </c>
      <c r="O3" s="228">
        <v>0.25</v>
      </c>
      <c r="P3" s="228">
        <v>0.25</v>
      </c>
      <c r="Q3" s="228">
        <v>0.25</v>
      </c>
      <c r="R3" s="228">
        <v>0.217</v>
      </c>
      <c r="S3" s="228">
        <v>0.217</v>
      </c>
      <c r="T3" s="228">
        <v>0.25</v>
      </c>
    </row>
    <row r="4" spans="2:20" x14ac:dyDescent="0.15">
      <c r="B4" s="256"/>
      <c r="C4" s="36">
        <v>2</v>
      </c>
      <c r="D4" s="223">
        <v>271</v>
      </c>
      <c r="E4" s="223">
        <v>300</v>
      </c>
      <c r="F4" s="223">
        <v>331</v>
      </c>
      <c r="G4" s="223">
        <v>363</v>
      </c>
      <c r="H4" s="223">
        <v>397</v>
      </c>
      <c r="I4" s="223">
        <v>432</v>
      </c>
      <c r="J4" s="223">
        <v>469</v>
      </c>
      <c r="K4" s="223"/>
      <c r="L4" s="256"/>
      <c r="M4" s="36">
        <v>2</v>
      </c>
      <c r="N4" s="228">
        <v>6.2E-2</v>
      </c>
      <c r="O4" s="228">
        <v>0.11799999999999999</v>
      </c>
      <c r="P4" s="228">
        <v>0.17399999999999999</v>
      </c>
      <c r="Q4" s="228">
        <v>0.23</v>
      </c>
      <c r="R4" s="228">
        <v>0.218</v>
      </c>
      <c r="S4" s="228">
        <v>0.217</v>
      </c>
      <c r="T4" s="228">
        <v>0.25</v>
      </c>
    </row>
    <row r="5" spans="2:20" x14ac:dyDescent="0.15">
      <c r="B5" s="256"/>
      <c r="C5" s="36">
        <v>3</v>
      </c>
      <c r="D5" s="223">
        <v>257</v>
      </c>
      <c r="E5" s="223">
        <v>300</v>
      </c>
      <c r="F5" s="223">
        <v>347</v>
      </c>
      <c r="G5" s="223">
        <v>399</v>
      </c>
      <c r="H5" s="223">
        <v>456</v>
      </c>
      <c r="I5" s="223">
        <v>518</v>
      </c>
      <c r="J5" s="223">
        <v>586</v>
      </c>
      <c r="K5" s="223"/>
      <c r="L5" s="256"/>
      <c r="M5" s="36">
        <v>3</v>
      </c>
      <c r="N5" s="228">
        <v>2.3E-2</v>
      </c>
      <c r="O5" s="228">
        <v>7.6999999999999999E-2</v>
      </c>
      <c r="P5" s="228">
        <v>0.13100000000000001</v>
      </c>
      <c r="Q5" s="228">
        <v>0.185</v>
      </c>
      <c r="R5" s="228">
        <v>0.20300000000000001</v>
      </c>
      <c r="S5" s="228">
        <v>0.217</v>
      </c>
      <c r="T5" s="228">
        <v>0.25</v>
      </c>
    </row>
    <row r="6" spans="2:20" x14ac:dyDescent="0.15">
      <c r="B6" s="256"/>
      <c r="C6" s="36">
        <v>4</v>
      </c>
      <c r="D6" s="223">
        <v>244</v>
      </c>
      <c r="E6" s="223">
        <v>300</v>
      </c>
      <c r="F6" s="223">
        <v>365</v>
      </c>
      <c r="G6" s="223">
        <v>439</v>
      </c>
      <c r="H6" s="223">
        <v>525</v>
      </c>
      <c r="I6" s="223">
        <v>622</v>
      </c>
      <c r="J6" s="223">
        <v>732</v>
      </c>
      <c r="K6" s="223"/>
      <c r="L6" s="256"/>
      <c r="M6" s="36">
        <v>4</v>
      </c>
      <c r="N6" s="228">
        <v>5.0000000000000001E-3</v>
      </c>
      <c r="O6" s="228">
        <v>5.7000000000000002E-2</v>
      </c>
      <c r="P6" s="228">
        <v>0.11</v>
      </c>
      <c r="Q6" s="228">
        <v>0.158</v>
      </c>
      <c r="R6" s="228">
        <v>0.185</v>
      </c>
      <c r="S6" s="228">
        <v>0.216</v>
      </c>
      <c r="T6" s="228">
        <v>0.25</v>
      </c>
    </row>
    <row r="7" spans="2:20" x14ac:dyDescent="0.15">
      <c r="B7" s="256"/>
      <c r="C7" s="36">
        <v>5</v>
      </c>
      <c r="D7" s="223">
        <v>232</v>
      </c>
      <c r="E7" s="223">
        <v>300</v>
      </c>
      <c r="F7" s="223">
        <v>383</v>
      </c>
      <c r="G7" s="223">
        <v>483</v>
      </c>
      <c r="H7" s="223">
        <v>603</v>
      </c>
      <c r="I7" s="223">
        <v>746</v>
      </c>
      <c r="J7" s="223">
        <v>916</v>
      </c>
      <c r="K7" s="223"/>
      <c r="L7" s="256"/>
      <c r="M7" s="36">
        <v>5</v>
      </c>
      <c r="N7" s="228">
        <v>-7.0000000000000001E-3</v>
      </c>
      <c r="O7" s="228">
        <v>4.5999999999999999E-2</v>
      </c>
      <c r="P7" s="228">
        <v>9.8000000000000004E-2</v>
      </c>
      <c r="Q7" s="228">
        <v>0.14199999999999999</v>
      </c>
      <c r="R7" s="228">
        <v>0.17399999999999999</v>
      </c>
      <c r="S7" s="228">
        <v>0.21099999999999999</v>
      </c>
      <c r="T7" s="228">
        <v>0.25</v>
      </c>
    </row>
    <row r="8" spans="2:20" x14ac:dyDescent="0.15">
      <c r="B8" s="256"/>
      <c r="C8" s="36">
        <v>6</v>
      </c>
      <c r="D8" s="223">
        <v>221</v>
      </c>
      <c r="E8" s="223">
        <v>300</v>
      </c>
      <c r="F8" s="223">
        <v>402</v>
      </c>
      <c r="G8" s="223">
        <v>531</v>
      </c>
      <c r="H8" s="223">
        <v>694</v>
      </c>
      <c r="I8" s="223">
        <v>896</v>
      </c>
      <c r="J8" s="223">
        <v>1144</v>
      </c>
      <c r="K8" s="223"/>
      <c r="L8" s="256"/>
      <c r="M8" s="36">
        <v>6</v>
      </c>
      <c r="N8" s="228">
        <v>-1.4E-2</v>
      </c>
      <c r="O8" s="228">
        <v>3.7999999999999999E-2</v>
      </c>
      <c r="P8" s="228">
        <v>0.09</v>
      </c>
      <c r="Q8" s="228">
        <v>0.13200000000000001</v>
      </c>
      <c r="R8" s="228">
        <v>0.16800000000000001</v>
      </c>
      <c r="S8" s="228">
        <v>0.20699999999999999</v>
      </c>
      <c r="T8" s="228">
        <v>0.25</v>
      </c>
    </row>
    <row r="9" spans="2:20" x14ac:dyDescent="0.15"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</row>
    <row r="10" spans="2:20" x14ac:dyDescent="0.15">
      <c r="B10" s="226" t="s">
        <v>489</v>
      </c>
      <c r="C10" s="227"/>
      <c r="D10" s="224">
        <v>-0.05</v>
      </c>
      <c r="E10" s="224">
        <v>0</v>
      </c>
      <c r="F10" s="224">
        <v>0.05</v>
      </c>
      <c r="G10" s="224">
        <v>0.1</v>
      </c>
      <c r="H10" s="224">
        <v>0.15</v>
      </c>
      <c r="I10" s="224">
        <v>0.2</v>
      </c>
      <c r="J10" s="224">
        <v>0.25</v>
      </c>
      <c r="K10" s="225"/>
      <c r="L10" s="226" t="s">
        <v>489</v>
      </c>
      <c r="M10" s="227"/>
      <c r="N10" s="221">
        <v>-0.05</v>
      </c>
      <c r="O10" s="221">
        <v>0</v>
      </c>
      <c r="P10" s="221">
        <v>0.05</v>
      </c>
      <c r="Q10" s="221">
        <v>0.1</v>
      </c>
      <c r="R10" s="221">
        <v>0.15</v>
      </c>
      <c r="S10" s="221">
        <v>0.2</v>
      </c>
      <c r="T10" s="221">
        <v>0.25</v>
      </c>
    </row>
    <row r="11" spans="2:20" ht="13" customHeight="1" x14ac:dyDescent="0.15">
      <c r="B11" s="256" t="s">
        <v>488</v>
      </c>
      <c r="C11" s="36">
        <v>1</v>
      </c>
      <c r="D11" s="223">
        <v>71</v>
      </c>
      <c r="E11" s="223">
        <v>75</v>
      </c>
      <c r="F11" s="223">
        <v>60</v>
      </c>
      <c r="G11" s="223">
        <v>45</v>
      </c>
      <c r="H11" s="223">
        <v>20</v>
      </c>
      <c r="I11" s="223">
        <v>5</v>
      </c>
      <c r="J11" s="223">
        <v>0</v>
      </c>
      <c r="K11" s="223"/>
      <c r="L11" s="256" t="s">
        <v>488</v>
      </c>
      <c r="M11" s="36">
        <v>1</v>
      </c>
      <c r="N11" s="223" t="s">
        <v>170</v>
      </c>
      <c r="O11" s="223" t="s">
        <v>160</v>
      </c>
      <c r="P11" s="223" t="s">
        <v>160</v>
      </c>
      <c r="Q11" s="223" t="s">
        <v>160</v>
      </c>
      <c r="R11" s="223" t="s">
        <v>170</v>
      </c>
      <c r="S11" s="223" t="s">
        <v>170</v>
      </c>
      <c r="T11" s="223" t="s">
        <v>160</v>
      </c>
    </row>
    <row r="12" spans="2:20" x14ac:dyDescent="0.15">
      <c r="B12" s="256"/>
      <c r="C12" s="36">
        <v>2</v>
      </c>
      <c r="D12" s="223">
        <v>68</v>
      </c>
      <c r="E12" s="223">
        <v>75</v>
      </c>
      <c r="F12" s="223">
        <v>83</v>
      </c>
      <c r="G12" s="223">
        <v>91</v>
      </c>
      <c r="H12" s="223">
        <v>48</v>
      </c>
      <c r="I12" s="223">
        <v>12</v>
      </c>
      <c r="J12" s="223">
        <v>0</v>
      </c>
      <c r="K12" s="223"/>
      <c r="L12" s="256"/>
      <c r="M12" s="36">
        <v>2</v>
      </c>
      <c r="N12" s="223" t="s">
        <v>161</v>
      </c>
      <c r="O12" s="223" t="s">
        <v>160</v>
      </c>
      <c r="P12" s="223" t="s">
        <v>207</v>
      </c>
      <c r="Q12" s="223" t="s">
        <v>159</v>
      </c>
      <c r="R12" s="223" t="s">
        <v>159</v>
      </c>
      <c r="S12" s="223" t="s">
        <v>159</v>
      </c>
      <c r="T12" s="223" t="s">
        <v>206</v>
      </c>
    </row>
    <row r="13" spans="2:20" x14ac:dyDescent="0.15">
      <c r="B13" s="256"/>
      <c r="C13" s="36">
        <v>3</v>
      </c>
      <c r="D13" s="223">
        <v>64</v>
      </c>
      <c r="E13" s="223">
        <v>75</v>
      </c>
      <c r="F13" s="223">
        <v>87</v>
      </c>
      <c r="G13" s="223">
        <v>100</v>
      </c>
      <c r="H13" s="223">
        <v>67</v>
      </c>
      <c r="I13" s="223">
        <v>23</v>
      </c>
      <c r="J13" s="223">
        <v>0</v>
      </c>
      <c r="K13" s="223"/>
      <c r="L13" s="256"/>
      <c r="M13" s="36">
        <v>3</v>
      </c>
      <c r="N13" s="223" t="s">
        <v>161</v>
      </c>
      <c r="O13" s="223" t="s">
        <v>160</v>
      </c>
      <c r="P13" s="223" t="s">
        <v>207</v>
      </c>
      <c r="Q13" s="223" t="s">
        <v>158</v>
      </c>
      <c r="R13" s="223" t="s">
        <v>158</v>
      </c>
      <c r="S13" s="223" t="s">
        <v>223</v>
      </c>
      <c r="T13" s="223" t="s">
        <v>281</v>
      </c>
    </row>
    <row r="14" spans="2:20" x14ac:dyDescent="0.15">
      <c r="B14" s="256"/>
      <c r="C14" s="36">
        <v>4</v>
      </c>
      <c r="D14" s="223">
        <v>61</v>
      </c>
      <c r="E14" s="223">
        <v>75</v>
      </c>
      <c r="F14" s="223">
        <v>91</v>
      </c>
      <c r="G14" s="223">
        <v>100</v>
      </c>
      <c r="H14" s="223">
        <v>67</v>
      </c>
      <c r="I14" s="223">
        <v>33</v>
      </c>
      <c r="J14" s="223">
        <v>0</v>
      </c>
      <c r="K14" s="223"/>
      <c r="L14" s="256"/>
      <c r="M14" s="36">
        <v>4</v>
      </c>
      <c r="N14" s="223" t="s">
        <v>171</v>
      </c>
      <c r="O14" s="223" t="s">
        <v>160</v>
      </c>
      <c r="P14" s="223" t="s">
        <v>159</v>
      </c>
      <c r="Q14" s="223" t="s">
        <v>223</v>
      </c>
      <c r="R14" s="223" t="s">
        <v>281</v>
      </c>
      <c r="S14" s="223" t="s">
        <v>368</v>
      </c>
      <c r="T14" s="223" t="s">
        <v>241</v>
      </c>
    </row>
    <row r="15" spans="2:20" x14ac:dyDescent="0.15">
      <c r="B15" s="256"/>
      <c r="C15" s="36">
        <v>5</v>
      </c>
      <c r="D15" s="223">
        <v>58</v>
      </c>
      <c r="E15" s="223">
        <v>75</v>
      </c>
      <c r="F15" s="223">
        <v>96</v>
      </c>
      <c r="G15" s="223">
        <v>100</v>
      </c>
      <c r="H15" s="223">
        <v>67</v>
      </c>
      <c r="I15" s="223">
        <v>33</v>
      </c>
      <c r="J15" s="223">
        <v>0</v>
      </c>
      <c r="K15" s="223"/>
      <c r="L15" s="256"/>
      <c r="M15" s="36">
        <v>5</v>
      </c>
      <c r="N15" s="223" t="s">
        <v>171</v>
      </c>
      <c r="O15" s="223" t="s">
        <v>160</v>
      </c>
      <c r="P15" s="223" t="s">
        <v>206</v>
      </c>
      <c r="Q15" s="223" t="s">
        <v>243</v>
      </c>
      <c r="R15" s="223" t="s">
        <v>368</v>
      </c>
      <c r="S15" s="223" t="s">
        <v>367</v>
      </c>
      <c r="T15" s="223" t="s">
        <v>99</v>
      </c>
    </row>
    <row r="16" spans="2:20" x14ac:dyDescent="0.15">
      <c r="B16" s="256"/>
      <c r="C16" s="36">
        <v>6</v>
      </c>
      <c r="D16" s="223">
        <v>55</v>
      </c>
      <c r="E16" s="223">
        <v>75</v>
      </c>
      <c r="F16" s="223">
        <v>100</v>
      </c>
      <c r="G16" s="223">
        <v>100</v>
      </c>
      <c r="H16" s="223">
        <v>67</v>
      </c>
      <c r="I16" s="223">
        <v>33</v>
      </c>
      <c r="J16" s="223">
        <v>0</v>
      </c>
      <c r="K16" s="223"/>
      <c r="L16" s="256"/>
      <c r="M16" s="36">
        <v>6</v>
      </c>
      <c r="N16" s="223" t="s">
        <v>172</v>
      </c>
      <c r="O16" s="223" t="s">
        <v>160</v>
      </c>
      <c r="P16" s="223" t="s">
        <v>158</v>
      </c>
      <c r="Q16" s="223" t="s">
        <v>242</v>
      </c>
      <c r="R16" s="223" t="s">
        <v>183</v>
      </c>
      <c r="S16" s="223" t="s">
        <v>99</v>
      </c>
      <c r="T16" s="223" t="s">
        <v>255</v>
      </c>
    </row>
    <row r="17" spans="2:20" x14ac:dyDescent="0.15"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</row>
    <row r="18" spans="2:20" x14ac:dyDescent="0.15">
      <c r="B18" s="226" t="s">
        <v>489</v>
      </c>
      <c r="C18" s="227"/>
      <c r="D18" s="224">
        <v>-0.05</v>
      </c>
      <c r="E18" s="224">
        <v>0</v>
      </c>
      <c r="F18" s="224">
        <v>0.05</v>
      </c>
      <c r="G18" s="224">
        <v>0.1</v>
      </c>
      <c r="H18" s="224">
        <v>0.15</v>
      </c>
      <c r="I18" s="224">
        <v>0.2</v>
      </c>
      <c r="J18" s="224">
        <v>0.25</v>
      </c>
      <c r="K18" s="225"/>
      <c r="L18" s="140"/>
      <c r="M18" s="140"/>
      <c r="N18" s="140"/>
      <c r="O18" s="140"/>
      <c r="P18" s="140"/>
      <c r="Q18" s="140"/>
      <c r="R18" s="140"/>
      <c r="S18" s="140"/>
      <c r="T18" s="140"/>
    </row>
    <row r="19" spans="2:20" ht="13" customHeight="1" x14ac:dyDescent="0.15">
      <c r="B19" s="256" t="s">
        <v>488</v>
      </c>
      <c r="C19" s="36">
        <v>1</v>
      </c>
      <c r="D19" s="223">
        <v>356</v>
      </c>
      <c r="E19" s="223">
        <v>375</v>
      </c>
      <c r="F19" s="223">
        <v>375</v>
      </c>
      <c r="G19" s="223">
        <v>375</v>
      </c>
      <c r="H19" s="223">
        <v>365</v>
      </c>
      <c r="I19" s="223">
        <v>365</v>
      </c>
      <c r="J19" s="223">
        <v>375</v>
      </c>
      <c r="K19" s="223"/>
      <c r="L19" s="140"/>
      <c r="M19" s="140"/>
      <c r="N19" s="140"/>
      <c r="O19" s="140"/>
      <c r="P19" s="140"/>
      <c r="Q19" s="140"/>
      <c r="R19" s="140"/>
      <c r="S19" s="140"/>
      <c r="T19" s="140"/>
    </row>
    <row r="20" spans="2:20" x14ac:dyDescent="0.15">
      <c r="B20" s="256"/>
      <c r="C20" s="36">
        <v>2</v>
      </c>
      <c r="D20" s="223">
        <v>338</v>
      </c>
      <c r="E20" s="223">
        <v>375</v>
      </c>
      <c r="F20" s="223">
        <v>413</v>
      </c>
      <c r="G20" s="223">
        <v>454</v>
      </c>
      <c r="H20" s="223">
        <v>445</v>
      </c>
      <c r="I20" s="223">
        <v>444</v>
      </c>
      <c r="J20" s="223">
        <v>469</v>
      </c>
      <c r="K20" s="223"/>
      <c r="L20" s="140"/>
      <c r="M20" s="140"/>
      <c r="N20" s="140"/>
      <c r="O20" s="140"/>
      <c r="P20" s="140"/>
      <c r="Q20" s="140"/>
      <c r="R20" s="140"/>
      <c r="S20" s="140"/>
      <c r="T20" s="140"/>
    </row>
    <row r="21" spans="2:20" x14ac:dyDescent="0.15">
      <c r="B21" s="256"/>
      <c r="C21" s="36">
        <v>3</v>
      </c>
      <c r="D21" s="223">
        <v>322</v>
      </c>
      <c r="E21" s="223">
        <v>375</v>
      </c>
      <c r="F21" s="223">
        <v>434</v>
      </c>
      <c r="G21" s="223">
        <v>499</v>
      </c>
      <c r="H21" s="223">
        <v>523</v>
      </c>
      <c r="I21" s="223">
        <v>541</v>
      </c>
      <c r="J21" s="223">
        <v>586</v>
      </c>
      <c r="K21" s="223"/>
      <c r="L21" s="140"/>
      <c r="M21" s="140"/>
      <c r="N21" s="140"/>
      <c r="O21" s="140"/>
      <c r="P21" s="140"/>
      <c r="Q21" s="140"/>
      <c r="R21" s="140"/>
      <c r="S21" s="140"/>
      <c r="T21" s="140"/>
    </row>
    <row r="22" spans="2:20" x14ac:dyDescent="0.15">
      <c r="B22" s="256"/>
      <c r="C22" s="36">
        <v>4</v>
      </c>
      <c r="D22" s="223">
        <v>305</v>
      </c>
      <c r="E22" s="223">
        <v>375</v>
      </c>
      <c r="F22" s="223">
        <v>456</v>
      </c>
      <c r="G22" s="223">
        <v>539</v>
      </c>
      <c r="H22" s="223">
        <v>591</v>
      </c>
      <c r="I22" s="223">
        <v>655</v>
      </c>
      <c r="J22" s="223">
        <v>732</v>
      </c>
      <c r="K22" s="223"/>
      <c r="L22" s="140"/>
      <c r="M22" s="140"/>
      <c r="N22" s="140"/>
      <c r="O22" s="140"/>
      <c r="P22" s="140"/>
      <c r="Q22" s="140"/>
      <c r="R22" s="140"/>
      <c r="S22" s="140"/>
      <c r="T22" s="140"/>
    </row>
    <row r="23" spans="2:20" x14ac:dyDescent="0.15">
      <c r="B23" s="256"/>
      <c r="C23" s="36">
        <v>5</v>
      </c>
      <c r="D23" s="223">
        <v>290</v>
      </c>
      <c r="E23" s="223">
        <v>375</v>
      </c>
      <c r="F23" s="223">
        <v>479</v>
      </c>
      <c r="G23" s="223">
        <v>583</v>
      </c>
      <c r="H23" s="223">
        <v>670</v>
      </c>
      <c r="I23" s="223">
        <v>780</v>
      </c>
      <c r="J23" s="223">
        <v>916</v>
      </c>
      <c r="K23" s="223"/>
      <c r="L23" s="140"/>
      <c r="M23" s="140"/>
      <c r="N23" s="140"/>
      <c r="O23" s="140"/>
      <c r="P23" s="140"/>
      <c r="Q23" s="140"/>
      <c r="R23" s="140"/>
      <c r="S23" s="140"/>
      <c r="T23" s="140"/>
    </row>
    <row r="24" spans="2:20" x14ac:dyDescent="0.15">
      <c r="B24" s="256"/>
      <c r="C24" s="36">
        <v>6</v>
      </c>
      <c r="D24" s="223">
        <v>276</v>
      </c>
      <c r="E24" s="223">
        <v>375</v>
      </c>
      <c r="F24" s="223">
        <v>502</v>
      </c>
      <c r="G24" s="223">
        <v>631</v>
      </c>
      <c r="H24" s="223">
        <v>761</v>
      </c>
      <c r="I24" s="223">
        <v>929</v>
      </c>
      <c r="J24" s="223">
        <v>1144</v>
      </c>
      <c r="K24" s="223"/>
      <c r="L24" s="140"/>
      <c r="M24" s="140"/>
      <c r="N24" s="140"/>
      <c r="O24" s="140"/>
      <c r="P24" s="140"/>
      <c r="Q24" s="140"/>
      <c r="R24" s="140"/>
      <c r="S24" s="140"/>
      <c r="T24" s="140"/>
    </row>
  </sheetData>
  <mergeCells count="5">
    <mergeCell ref="B3:B8"/>
    <mergeCell ref="B11:B16"/>
    <mergeCell ref="B19:B24"/>
    <mergeCell ref="L3:L8"/>
    <mergeCell ref="L11:L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35"/>
  <sheetViews>
    <sheetView zoomScale="106" zoomScaleNormal="85" workbookViewId="0">
      <selection activeCell="M13" sqref="M13"/>
    </sheetView>
  </sheetViews>
  <sheetFormatPr baseColWidth="10" defaultColWidth="4.5703125" defaultRowHeight="13" x14ac:dyDescent="0.15"/>
  <cols>
    <col min="1" max="1" width="4.5703125" style="107"/>
    <col min="2" max="2" width="19.42578125" style="107" customWidth="1"/>
    <col min="3" max="3" width="1" style="107" customWidth="1"/>
    <col min="4" max="4" width="21.7109375" style="107" bestFit="1" customWidth="1"/>
    <col min="5" max="11" width="7.140625" style="107" customWidth="1"/>
    <col min="12" max="16384" width="4.5703125" style="107"/>
  </cols>
  <sheetData>
    <row r="2" spans="2:11" x14ac:dyDescent="0.15">
      <c r="B2" s="138" t="s">
        <v>383</v>
      </c>
    </row>
    <row r="3" spans="2:11" ht="14" thickBot="1" x14ac:dyDescent="0.2">
      <c r="B3" s="258" t="s">
        <v>95</v>
      </c>
      <c r="C3" s="22"/>
      <c r="D3" s="108"/>
      <c r="E3" s="257" t="s">
        <v>381</v>
      </c>
      <c r="F3" s="257"/>
      <c r="G3" s="257"/>
      <c r="H3" s="257"/>
      <c r="I3" s="257"/>
      <c r="J3" s="257"/>
      <c r="K3" s="257"/>
    </row>
    <row r="4" spans="2:11" x14ac:dyDescent="0.15">
      <c r="B4" s="258"/>
      <c r="C4" s="22"/>
      <c r="D4" s="110" t="s">
        <v>382</v>
      </c>
      <c r="E4" s="111"/>
      <c r="F4" s="112">
        <v>-0.03</v>
      </c>
      <c r="G4" s="112">
        <v>-0.02</v>
      </c>
      <c r="H4" s="112">
        <v>-0.01</v>
      </c>
      <c r="I4" s="112">
        <v>0</v>
      </c>
      <c r="J4" s="112">
        <v>0.01</v>
      </c>
      <c r="K4" s="109">
        <v>0.02</v>
      </c>
    </row>
    <row r="5" spans="2:11" ht="14" thickBot="1" x14ac:dyDescent="0.2">
      <c r="B5" s="258"/>
      <c r="C5" s="22"/>
      <c r="D5" s="113" t="s">
        <v>380</v>
      </c>
      <c r="E5" s="114" t="s">
        <v>94</v>
      </c>
      <c r="F5" s="115">
        <v>-24</v>
      </c>
      <c r="G5" s="115">
        <v>-16</v>
      </c>
      <c r="H5" s="115">
        <v>-8</v>
      </c>
      <c r="I5" s="115">
        <v>0</v>
      </c>
      <c r="J5" s="115">
        <v>8</v>
      </c>
      <c r="K5" s="116">
        <v>16</v>
      </c>
    </row>
    <row r="6" spans="2:11" x14ac:dyDescent="0.15">
      <c r="B6" s="258"/>
      <c r="C6" s="22"/>
      <c r="D6" s="54"/>
      <c r="E6" s="137">
        <v>8</v>
      </c>
      <c r="F6" s="104">
        <v>0.115</v>
      </c>
      <c r="G6" s="117">
        <v>0.15</v>
      </c>
      <c r="H6" s="118">
        <v>0.17199999999999999</v>
      </c>
      <c r="I6" s="119">
        <v>0.193</v>
      </c>
      <c r="J6" s="104">
        <v>0.215</v>
      </c>
      <c r="K6" s="104">
        <v>0.23599999999999999</v>
      </c>
    </row>
    <row r="7" spans="2:11" x14ac:dyDescent="0.15">
      <c r="B7" s="258"/>
      <c r="C7" s="22"/>
      <c r="D7" s="54" t="s">
        <v>96</v>
      </c>
      <c r="E7" s="137">
        <v>9</v>
      </c>
      <c r="F7" s="104">
        <v>0.15</v>
      </c>
      <c r="G7" s="120">
        <v>0.17399999999999999</v>
      </c>
      <c r="H7" s="104">
        <v>0.19800000000000001</v>
      </c>
      <c r="I7" s="121">
        <v>0.221</v>
      </c>
      <c r="J7" s="104">
        <v>0.24399999999999999</v>
      </c>
      <c r="K7" s="104">
        <v>0.27</v>
      </c>
    </row>
    <row r="8" spans="2:11" ht="14" thickBot="1" x14ac:dyDescent="0.2">
      <c r="B8" s="258"/>
      <c r="C8" s="22"/>
      <c r="D8" s="54" t="s">
        <v>97</v>
      </c>
      <c r="E8" s="137">
        <v>10</v>
      </c>
      <c r="F8" s="104">
        <v>0.17199999999999999</v>
      </c>
      <c r="G8" s="122">
        <v>0.19800000000000001</v>
      </c>
      <c r="H8" s="123">
        <v>0.224</v>
      </c>
      <c r="I8" s="124">
        <v>0.248</v>
      </c>
      <c r="J8" s="104">
        <v>0.27800000000000002</v>
      </c>
      <c r="K8" s="104">
        <v>0.30599999999999999</v>
      </c>
    </row>
    <row r="9" spans="2:11" x14ac:dyDescent="0.15">
      <c r="B9" s="258"/>
      <c r="C9" s="22"/>
      <c r="D9" s="54"/>
      <c r="E9" s="137">
        <v>11</v>
      </c>
      <c r="F9" s="104">
        <v>0.193</v>
      </c>
      <c r="G9" s="104">
        <v>0.221</v>
      </c>
      <c r="H9" s="104">
        <v>0.248</v>
      </c>
      <c r="I9" s="104">
        <v>0.28000000000000003</v>
      </c>
      <c r="J9" s="104">
        <v>0.31</v>
      </c>
      <c r="K9" s="104">
        <v>0.33800000000000002</v>
      </c>
    </row>
    <row r="10" spans="2:11" x14ac:dyDescent="0.15">
      <c r="B10" s="258"/>
      <c r="C10" s="22"/>
      <c r="D10" s="54"/>
      <c r="E10" s="137">
        <v>12</v>
      </c>
      <c r="F10" s="105">
        <v>0.215</v>
      </c>
      <c r="G10" s="105">
        <v>0.24399999999999999</v>
      </c>
      <c r="H10" s="105">
        <v>0.27800000000000002</v>
      </c>
      <c r="I10" s="105">
        <v>0.31</v>
      </c>
      <c r="J10" s="105">
        <v>0.34100000000000003</v>
      </c>
      <c r="K10" s="105">
        <v>0.36899999999999999</v>
      </c>
    </row>
    <row r="11" spans="2:11" ht="7.5" customHeight="1" x14ac:dyDescent="0.15">
      <c r="B11" s="22"/>
      <c r="C11" s="22"/>
      <c r="D11" s="62"/>
      <c r="E11" s="106"/>
      <c r="F11" s="21"/>
      <c r="G11" s="21"/>
      <c r="H11" s="21"/>
      <c r="I11" s="21"/>
      <c r="J11" s="21"/>
      <c r="K11" s="40"/>
    </row>
    <row r="12" spans="2:11" ht="15.75" customHeight="1" x14ac:dyDescent="0.15">
      <c r="B12" s="259" t="s">
        <v>378</v>
      </c>
      <c r="C12" s="22"/>
      <c r="D12" s="54"/>
      <c r="E12" s="257" t="s">
        <v>381</v>
      </c>
      <c r="F12" s="257"/>
      <c r="G12" s="257"/>
      <c r="H12" s="257"/>
      <c r="I12" s="257"/>
      <c r="J12" s="257"/>
      <c r="K12" s="257"/>
    </row>
    <row r="13" spans="2:11" ht="15.75" customHeight="1" thickBot="1" x14ac:dyDescent="0.2">
      <c r="B13" s="258"/>
      <c r="C13" s="22"/>
      <c r="D13" s="54"/>
      <c r="E13" s="53" t="s">
        <v>94</v>
      </c>
      <c r="F13" s="53">
        <v>-24</v>
      </c>
      <c r="G13" s="53">
        <v>-16</v>
      </c>
      <c r="H13" s="53">
        <v>-8</v>
      </c>
      <c r="I13" s="53">
        <v>0</v>
      </c>
      <c r="J13" s="53">
        <v>8</v>
      </c>
      <c r="K13" s="53">
        <v>16</v>
      </c>
    </row>
    <row r="14" spans="2:11" ht="15.75" customHeight="1" x14ac:dyDescent="0.15">
      <c r="B14" s="258"/>
      <c r="C14" s="22"/>
      <c r="D14" s="54"/>
      <c r="E14" s="137">
        <v>8</v>
      </c>
      <c r="F14" s="21" t="s">
        <v>206</v>
      </c>
      <c r="G14" s="125" t="s">
        <v>223</v>
      </c>
      <c r="H14" s="126" t="s">
        <v>281</v>
      </c>
      <c r="I14" s="127" t="s">
        <v>368</v>
      </c>
      <c r="J14" s="21" t="s">
        <v>280</v>
      </c>
      <c r="K14" s="21" t="s">
        <v>183</v>
      </c>
    </row>
    <row r="15" spans="2:11" ht="15.75" customHeight="1" x14ac:dyDescent="0.15">
      <c r="B15" s="258"/>
      <c r="C15" s="22"/>
      <c r="D15" s="54" t="s">
        <v>96</v>
      </c>
      <c r="E15" s="137">
        <v>9</v>
      </c>
      <c r="F15" s="21" t="s">
        <v>223</v>
      </c>
      <c r="G15" s="128" t="s">
        <v>281</v>
      </c>
      <c r="H15" s="21" t="s">
        <v>368</v>
      </c>
      <c r="I15" s="129" t="s">
        <v>241</v>
      </c>
      <c r="J15" s="21" t="s">
        <v>241</v>
      </c>
      <c r="K15" s="21" t="s">
        <v>367</v>
      </c>
    </row>
    <row r="16" spans="2:11" ht="15.75" customHeight="1" thickBot="1" x14ac:dyDescent="0.2">
      <c r="B16" s="258"/>
      <c r="C16" s="22"/>
      <c r="D16" s="54" t="s">
        <v>97</v>
      </c>
      <c r="E16" s="137">
        <v>10</v>
      </c>
      <c r="F16" s="21" t="s">
        <v>281</v>
      </c>
      <c r="G16" s="130" t="s">
        <v>368</v>
      </c>
      <c r="H16" s="131" t="s">
        <v>241</v>
      </c>
      <c r="I16" s="132" t="s">
        <v>367</v>
      </c>
      <c r="J16" s="21" t="s">
        <v>241</v>
      </c>
      <c r="K16" s="21" t="s">
        <v>367</v>
      </c>
    </row>
    <row r="17" spans="2:11" ht="15.75" customHeight="1" x14ac:dyDescent="0.15">
      <c r="B17" s="258"/>
      <c r="C17" s="22"/>
      <c r="D17" s="54"/>
      <c r="E17" s="137">
        <v>11</v>
      </c>
      <c r="F17" s="21" t="s">
        <v>368</v>
      </c>
      <c r="G17" s="21" t="s">
        <v>241</v>
      </c>
      <c r="H17" s="21" t="s">
        <v>367</v>
      </c>
      <c r="I17" s="21" t="s">
        <v>263</v>
      </c>
      <c r="J17" s="21" t="s">
        <v>263</v>
      </c>
      <c r="K17" s="21" t="s">
        <v>272</v>
      </c>
    </row>
    <row r="18" spans="2:11" ht="15.75" customHeight="1" x14ac:dyDescent="0.15">
      <c r="B18" s="258"/>
      <c r="C18" s="22"/>
      <c r="D18" s="54"/>
      <c r="E18" s="137">
        <v>12</v>
      </c>
      <c r="F18" s="32" t="s">
        <v>280</v>
      </c>
      <c r="G18" s="32" t="s">
        <v>367</v>
      </c>
      <c r="H18" s="32" t="s">
        <v>263</v>
      </c>
      <c r="I18" s="32" t="s">
        <v>262</v>
      </c>
      <c r="J18" s="32" t="s">
        <v>256</v>
      </c>
      <c r="K18" s="32" t="s">
        <v>260</v>
      </c>
    </row>
    <row r="19" spans="2:11" ht="7.5" customHeight="1" x14ac:dyDescent="0.15">
      <c r="B19" s="22"/>
      <c r="C19" s="22"/>
      <c r="D19" s="62"/>
      <c r="E19" s="106"/>
      <c r="F19" s="21"/>
      <c r="G19" s="21"/>
      <c r="H19" s="21"/>
      <c r="I19" s="21"/>
      <c r="J19" s="21"/>
      <c r="K19" s="40"/>
    </row>
    <row r="20" spans="2:11" ht="14" thickBot="1" x14ac:dyDescent="0.2">
      <c r="B20" s="258" t="s">
        <v>95</v>
      </c>
      <c r="C20" s="22"/>
      <c r="D20" s="54"/>
      <c r="E20" s="257" t="s">
        <v>381</v>
      </c>
      <c r="F20" s="257"/>
      <c r="G20" s="257"/>
      <c r="H20" s="257"/>
      <c r="I20" s="257"/>
      <c r="J20" s="257"/>
      <c r="K20" s="257"/>
    </row>
    <row r="21" spans="2:11" x14ac:dyDescent="0.15">
      <c r="B21" s="258"/>
      <c r="C21" s="22"/>
      <c r="D21" s="110" t="s">
        <v>382</v>
      </c>
      <c r="E21" s="111"/>
      <c r="F21" s="112">
        <v>-0.03</v>
      </c>
      <c r="G21" s="112">
        <v>-0.02</v>
      </c>
      <c r="H21" s="112">
        <v>-0.01</v>
      </c>
      <c r="I21" s="112">
        <v>0</v>
      </c>
      <c r="J21" s="112">
        <v>0.01</v>
      </c>
      <c r="K21" s="109">
        <v>0.02</v>
      </c>
    </row>
    <row r="22" spans="2:11" ht="14" thickBot="1" x14ac:dyDescent="0.2">
      <c r="B22" s="258"/>
      <c r="C22" s="22"/>
      <c r="D22" s="133" t="s">
        <v>93</v>
      </c>
      <c r="E22" s="134" t="s">
        <v>94</v>
      </c>
      <c r="F22" s="135">
        <v>-28.5</v>
      </c>
      <c r="G22" s="135">
        <v>-19</v>
      </c>
      <c r="H22" s="135">
        <v>-9.5</v>
      </c>
      <c r="I22" s="135">
        <v>0</v>
      </c>
      <c r="J22" s="135">
        <v>9.5</v>
      </c>
      <c r="K22" s="136">
        <v>19</v>
      </c>
    </row>
    <row r="23" spans="2:11" x14ac:dyDescent="0.15">
      <c r="B23" s="258"/>
      <c r="C23" s="22"/>
      <c r="D23" s="54"/>
      <c r="E23" s="137">
        <v>8</v>
      </c>
      <c r="F23" s="104">
        <v>0.27100000000000002</v>
      </c>
      <c r="G23" s="120">
        <v>0.31</v>
      </c>
      <c r="H23" s="104">
        <v>0.34499999999999997</v>
      </c>
      <c r="I23" s="121">
        <v>0.376</v>
      </c>
      <c r="J23" s="104">
        <v>0.40600000000000003</v>
      </c>
      <c r="K23" s="104">
        <v>0.433</v>
      </c>
    </row>
    <row r="24" spans="2:11" x14ac:dyDescent="0.15">
      <c r="B24" s="258"/>
      <c r="C24" s="22"/>
      <c r="D24" s="54" t="s">
        <v>96</v>
      </c>
      <c r="E24" s="137">
        <v>9</v>
      </c>
      <c r="F24" s="104">
        <v>0.31</v>
      </c>
      <c r="G24" s="120">
        <v>0.34799999999999998</v>
      </c>
      <c r="H24" s="104">
        <v>0.38300000000000001</v>
      </c>
      <c r="I24" s="121">
        <v>0.41399999999999998</v>
      </c>
      <c r="J24" s="104">
        <v>0.44400000000000001</v>
      </c>
      <c r="K24" s="104">
        <v>0.47099999999999997</v>
      </c>
    </row>
    <row r="25" spans="2:11" ht="14" thickBot="1" x14ac:dyDescent="0.2">
      <c r="B25" s="258"/>
      <c r="C25" s="22"/>
      <c r="D25" s="54" t="s">
        <v>97</v>
      </c>
      <c r="E25" s="137">
        <v>10</v>
      </c>
      <c r="F25" s="104">
        <v>0.34499999999999997</v>
      </c>
      <c r="G25" s="122">
        <v>0.38300000000000001</v>
      </c>
      <c r="H25" s="123">
        <v>0.41699999999999998</v>
      </c>
      <c r="I25" s="124">
        <v>0.44900000000000001</v>
      </c>
      <c r="J25" s="104">
        <v>0.47799999999999998</v>
      </c>
      <c r="K25" s="104">
        <v>0.50600000000000001</v>
      </c>
    </row>
    <row r="26" spans="2:11" x14ac:dyDescent="0.15">
      <c r="B26" s="258"/>
      <c r="C26" s="22"/>
      <c r="D26" s="54"/>
      <c r="E26" s="137">
        <v>11</v>
      </c>
      <c r="F26" s="104">
        <v>0.377</v>
      </c>
      <c r="G26" s="104">
        <v>0.41499999999999998</v>
      </c>
      <c r="H26" s="104">
        <v>0.44900000000000001</v>
      </c>
      <c r="I26" s="104">
        <v>0.48099999999999998</v>
      </c>
      <c r="J26" s="104">
        <v>0.51</v>
      </c>
      <c r="K26" s="104">
        <v>0.53700000000000003</v>
      </c>
    </row>
    <row r="27" spans="2:11" x14ac:dyDescent="0.15">
      <c r="B27" s="258"/>
      <c r="C27" s="22"/>
      <c r="D27" s="54"/>
      <c r="E27" s="137">
        <v>12</v>
      </c>
      <c r="F27" s="105">
        <v>0.40699999999999997</v>
      </c>
      <c r="G27" s="105">
        <v>0.44500000000000001</v>
      </c>
      <c r="H27" s="105">
        <v>0.47899999999999998</v>
      </c>
      <c r="I27" s="105">
        <v>0.51</v>
      </c>
      <c r="J27" s="105">
        <v>0.54</v>
      </c>
      <c r="K27" s="105">
        <v>0.56699999999999995</v>
      </c>
    </row>
    <row r="28" spans="2:11" ht="7.5" customHeight="1" x14ac:dyDescent="0.15">
      <c r="B28" s="22"/>
      <c r="C28" s="22"/>
      <c r="D28" s="62"/>
      <c r="E28" s="106"/>
      <c r="F28" s="21"/>
      <c r="G28" s="21"/>
      <c r="H28" s="21"/>
      <c r="I28" s="21"/>
      <c r="J28" s="21"/>
      <c r="K28" s="40"/>
    </row>
    <row r="29" spans="2:11" x14ac:dyDescent="0.15">
      <c r="B29" s="259" t="s">
        <v>378</v>
      </c>
      <c r="C29" s="22"/>
      <c r="D29" s="54"/>
      <c r="E29" s="257" t="s">
        <v>381</v>
      </c>
      <c r="F29" s="257"/>
      <c r="G29" s="257"/>
      <c r="H29" s="257"/>
      <c r="I29" s="257"/>
      <c r="J29" s="257"/>
      <c r="K29" s="257"/>
    </row>
    <row r="30" spans="2:11" ht="14" thickBot="1" x14ac:dyDescent="0.2">
      <c r="B30" s="258"/>
      <c r="C30" s="22"/>
      <c r="D30" s="54"/>
      <c r="E30" s="53" t="s">
        <v>98</v>
      </c>
      <c r="F30" s="68">
        <v>-28.5</v>
      </c>
      <c r="G30" s="68">
        <v>-19</v>
      </c>
      <c r="H30" s="68">
        <v>-9.5</v>
      </c>
      <c r="I30" s="68">
        <v>0</v>
      </c>
      <c r="J30" s="68">
        <v>9.5</v>
      </c>
      <c r="K30" s="68">
        <v>19</v>
      </c>
    </row>
    <row r="31" spans="2:11" x14ac:dyDescent="0.15">
      <c r="B31" s="258"/>
      <c r="C31" s="22"/>
      <c r="D31" s="54"/>
      <c r="E31" s="137">
        <v>8</v>
      </c>
      <c r="F31" s="21" t="s">
        <v>242</v>
      </c>
      <c r="G31" s="125" t="s">
        <v>280</v>
      </c>
      <c r="H31" s="126" t="s">
        <v>367</v>
      </c>
      <c r="I31" s="127" t="s">
        <v>182</v>
      </c>
      <c r="J31" s="21" t="s">
        <v>99</v>
      </c>
      <c r="K31" s="21" t="s">
        <v>256</v>
      </c>
    </row>
    <row r="32" spans="2:11" x14ac:dyDescent="0.15">
      <c r="B32" s="258"/>
      <c r="C32" s="22"/>
      <c r="D32" s="54" t="s">
        <v>96</v>
      </c>
      <c r="E32" s="137">
        <v>9</v>
      </c>
      <c r="F32" s="21" t="s">
        <v>280</v>
      </c>
      <c r="G32" s="128" t="s">
        <v>367</v>
      </c>
      <c r="H32" s="21" t="s">
        <v>272</v>
      </c>
      <c r="I32" s="129" t="s">
        <v>181</v>
      </c>
      <c r="J32" s="21" t="s">
        <v>379</v>
      </c>
      <c r="K32" s="21" t="s">
        <v>180</v>
      </c>
    </row>
    <row r="33" spans="2:11" ht="14" thickBot="1" x14ac:dyDescent="0.2">
      <c r="B33" s="258"/>
      <c r="C33" s="22"/>
      <c r="D33" s="54" t="s">
        <v>97</v>
      </c>
      <c r="E33" s="137">
        <v>10</v>
      </c>
      <c r="F33" s="21" t="s">
        <v>367</v>
      </c>
      <c r="G33" s="130" t="s">
        <v>272</v>
      </c>
      <c r="H33" s="131" t="s">
        <v>181</v>
      </c>
      <c r="I33" s="132" t="s">
        <v>260</v>
      </c>
      <c r="J33" s="21" t="s">
        <v>255</v>
      </c>
      <c r="K33" s="21" t="s">
        <v>252</v>
      </c>
    </row>
    <row r="34" spans="2:11" x14ac:dyDescent="0.15">
      <c r="B34" s="258"/>
      <c r="C34" s="22"/>
      <c r="D34" s="54"/>
      <c r="E34" s="137">
        <v>11</v>
      </c>
      <c r="F34" s="21" t="s">
        <v>182</v>
      </c>
      <c r="G34" s="21" t="s">
        <v>181</v>
      </c>
      <c r="H34" s="21" t="s">
        <v>260</v>
      </c>
      <c r="I34" s="21" t="s">
        <v>255</v>
      </c>
      <c r="J34" s="21" t="s">
        <v>252</v>
      </c>
      <c r="K34" s="21" t="s">
        <v>312</v>
      </c>
    </row>
    <row r="35" spans="2:11" x14ac:dyDescent="0.15">
      <c r="B35" s="258"/>
      <c r="C35" s="22"/>
      <c r="D35" s="54"/>
      <c r="E35" s="137">
        <v>12</v>
      </c>
      <c r="F35" s="32" t="s">
        <v>99</v>
      </c>
      <c r="G35" s="32" t="s">
        <v>379</v>
      </c>
      <c r="H35" s="32" t="s">
        <v>255</v>
      </c>
      <c r="I35" s="32" t="s">
        <v>252</v>
      </c>
      <c r="J35" s="32" t="s">
        <v>269</v>
      </c>
      <c r="K35" s="32" t="s">
        <v>251</v>
      </c>
    </row>
  </sheetData>
  <mergeCells count="8">
    <mergeCell ref="E3:K3"/>
    <mergeCell ref="E12:K12"/>
    <mergeCell ref="E20:K20"/>
    <mergeCell ref="E29:K29"/>
    <mergeCell ref="B3:B10"/>
    <mergeCell ref="B12:B18"/>
    <mergeCell ref="B20:B27"/>
    <mergeCell ref="B29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9"/>
  <sheetViews>
    <sheetView zoomScale="62" zoomScaleNormal="85" workbookViewId="0">
      <selection activeCell="I31" sqref="I31"/>
    </sheetView>
  </sheetViews>
  <sheetFormatPr baseColWidth="10" defaultColWidth="4.5703125" defaultRowHeight="16" x14ac:dyDescent="0.2"/>
  <cols>
    <col min="1" max="1" width="4.5703125" style="1"/>
    <col min="2" max="2" width="34.28515625" style="1" customWidth="1"/>
    <col min="3" max="3" width="8.28515625" style="1" customWidth="1"/>
    <col min="4" max="4" width="9.7109375" style="1" customWidth="1"/>
    <col min="5" max="5" width="3.5703125" style="1" customWidth="1"/>
    <col min="6" max="11" width="8.140625" style="1" customWidth="1"/>
    <col min="12" max="16384" width="4.5703125" style="1"/>
  </cols>
  <sheetData>
    <row r="2" spans="2:11" ht="18" x14ac:dyDescent="0.2">
      <c r="B2" s="19" t="s">
        <v>100</v>
      </c>
      <c r="C2" s="20"/>
      <c r="E2" s="20"/>
      <c r="F2" s="21"/>
      <c r="G2" s="21"/>
      <c r="H2" s="21"/>
      <c r="I2" s="21"/>
      <c r="J2" s="20"/>
      <c r="K2" s="20"/>
    </row>
    <row r="3" spans="2:11" ht="18" x14ac:dyDescent="0.2">
      <c r="B3" s="19"/>
      <c r="C3" s="20"/>
      <c r="D3" s="92" t="s">
        <v>101</v>
      </c>
      <c r="E3" s="20"/>
      <c r="F3" s="21"/>
      <c r="G3" s="21"/>
      <c r="H3" s="21"/>
      <c r="I3" s="21"/>
      <c r="J3" s="20"/>
      <c r="K3" s="20"/>
    </row>
    <row r="4" spans="2:11" x14ac:dyDescent="0.2">
      <c r="B4" s="78" t="s">
        <v>362</v>
      </c>
      <c r="C4" s="79"/>
      <c r="D4" s="93" t="s">
        <v>369</v>
      </c>
      <c r="E4" s="20"/>
      <c r="F4" s="78" t="s">
        <v>363</v>
      </c>
      <c r="G4" s="32"/>
      <c r="H4" s="32"/>
      <c r="I4" s="32"/>
      <c r="J4" s="79"/>
      <c r="K4" s="79"/>
    </row>
    <row r="5" spans="2:11" ht="8.25" customHeight="1" x14ac:dyDescent="0.2">
      <c r="B5" s="22"/>
      <c r="C5" s="21"/>
      <c r="D5" s="21"/>
      <c r="E5" s="21"/>
      <c r="F5" s="21"/>
      <c r="G5" s="21"/>
      <c r="H5" s="21"/>
      <c r="I5" s="21"/>
      <c r="J5" s="21"/>
      <c r="K5" s="21"/>
    </row>
    <row r="6" spans="2:11" x14ac:dyDescent="0.2">
      <c r="B6" s="80" t="s">
        <v>364</v>
      </c>
      <c r="C6" s="81"/>
      <c r="D6" s="95">
        <v>3.5000000000000003E-2</v>
      </c>
      <c r="E6" s="21"/>
      <c r="F6" s="96">
        <v>-0.02</v>
      </c>
      <c r="G6" s="97">
        <v>-0.01</v>
      </c>
      <c r="H6" s="97">
        <v>0</v>
      </c>
      <c r="I6" s="97">
        <v>0.01</v>
      </c>
      <c r="J6" s="97">
        <v>0.02</v>
      </c>
      <c r="K6" s="95">
        <v>2.5000000000000001E-2</v>
      </c>
    </row>
    <row r="7" spans="2:11" x14ac:dyDescent="0.2">
      <c r="B7" s="84" t="s">
        <v>365</v>
      </c>
      <c r="C7" s="21"/>
      <c r="D7" s="98">
        <v>9.5000000000000001E-2</v>
      </c>
      <c r="E7" s="21"/>
      <c r="F7" s="99">
        <v>0.04</v>
      </c>
      <c r="G7" s="40">
        <v>0.05</v>
      </c>
      <c r="H7" s="40">
        <v>0.06</v>
      </c>
      <c r="I7" s="40">
        <v>7.0000000000000007E-2</v>
      </c>
      <c r="J7" s="40">
        <v>0.08</v>
      </c>
      <c r="K7" s="98">
        <v>8.5000000000000006E-2</v>
      </c>
    </row>
    <row r="8" spans="2:11" x14ac:dyDescent="0.2">
      <c r="B8" s="84" t="s">
        <v>366</v>
      </c>
      <c r="C8" s="21"/>
      <c r="D8" s="85">
        <v>20</v>
      </c>
      <c r="E8" s="21"/>
      <c r="F8" s="86">
        <v>20</v>
      </c>
      <c r="G8" s="86">
        <v>20</v>
      </c>
      <c r="H8" s="86">
        <v>20</v>
      </c>
      <c r="I8" s="86">
        <v>20</v>
      </c>
      <c r="J8" s="86">
        <v>20</v>
      </c>
      <c r="K8" s="86">
        <v>20</v>
      </c>
    </row>
    <row r="9" spans="2:11" x14ac:dyDescent="0.2">
      <c r="B9" s="84" t="s">
        <v>370</v>
      </c>
      <c r="C9" s="21"/>
      <c r="D9" s="85">
        <v>105</v>
      </c>
      <c r="E9" s="21"/>
      <c r="F9" s="86">
        <v>105</v>
      </c>
      <c r="G9" s="21">
        <v>105</v>
      </c>
      <c r="H9" s="21">
        <v>105</v>
      </c>
      <c r="I9" s="21">
        <v>105</v>
      </c>
      <c r="J9" s="21">
        <v>105</v>
      </c>
      <c r="K9" s="85">
        <v>105</v>
      </c>
    </row>
    <row r="10" spans="2:11" x14ac:dyDescent="0.2">
      <c r="B10" s="84"/>
      <c r="C10" s="21"/>
      <c r="D10" s="85"/>
      <c r="E10" s="21"/>
      <c r="F10" s="86"/>
      <c r="G10" s="21"/>
      <c r="H10" s="21"/>
      <c r="I10" s="21"/>
      <c r="J10" s="21"/>
      <c r="K10" s="85"/>
    </row>
    <row r="11" spans="2:11" x14ac:dyDescent="0.2">
      <c r="B11" s="84" t="s">
        <v>102</v>
      </c>
      <c r="C11" s="21"/>
      <c r="D11" s="85" t="s">
        <v>19</v>
      </c>
      <c r="E11" s="20"/>
      <c r="F11" s="102" t="s">
        <v>376</v>
      </c>
      <c r="G11" s="21"/>
      <c r="H11" s="21"/>
      <c r="I11" s="21"/>
      <c r="J11" s="21"/>
      <c r="K11" s="85"/>
    </row>
    <row r="12" spans="2:11" x14ac:dyDescent="0.2">
      <c r="B12" s="87" t="s">
        <v>103</v>
      </c>
      <c r="C12" s="32"/>
      <c r="D12" s="88" t="s">
        <v>19</v>
      </c>
      <c r="E12" s="20"/>
      <c r="F12" s="103" t="s">
        <v>377</v>
      </c>
      <c r="G12" s="32"/>
      <c r="H12" s="32"/>
      <c r="I12" s="32"/>
      <c r="J12" s="32"/>
      <c r="K12" s="88"/>
    </row>
    <row r="13" spans="2:11" x14ac:dyDescent="0.2">
      <c r="B13" s="22"/>
      <c r="C13" s="21"/>
      <c r="D13" s="21"/>
      <c r="E13" s="20"/>
      <c r="F13" s="22"/>
      <c r="G13" s="21"/>
      <c r="H13" s="21"/>
      <c r="I13" s="21"/>
      <c r="J13" s="21"/>
      <c r="K13" s="21"/>
    </row>
    <row r="14" spans="2:11" x14ac:dyDescent="0.2">
      <c r="B14" s="61" t="s">
        <v>104</v>
      </c>
      <c r="C14" s="21"/>
      <c r="D14" s="21"/>
      <c r="E14" s="21"/>
      <c r="F14" s="21"/>
      <c r="G14" s="21"/>
      <c r="H14" s="21"/>
      <c r="I14" s="21"/>
      <c r="J14" s="21"/>
      <c r="K14" s="21"/>
    </row>
    <row r="15" spans="2:11" x14ac:dyDescent="0.2">
      <c r="B15" s="80"/>
      <c r="C15" s="89" t="s">
        <v>374</v>
      </c>
      <c r="D15" s="90" t="s">
        <v>375</v>
      </c>
      <c r="E15" s="21"/>
      <c r="F15" s="83"/>
      <c r="G15" s="81"/>
      <c r="H15" s="81"/>
      <c r="I15" s="81"/>
      <c r="J15" s="81"/>
      <c r="K15" s="82"/>
    </row>
    <row r="16" spans="2:11" x14ac:dyDescent="0.2">
      <c r="B16" s="84" t="s">
        <v>371</v>
      </c>
      <c r="C16" s="21">
        <v>491</v>
      </c>
      <c r="D16" s="85">
        <v>775</v>
      </c>
      <c r="E16" s="21"/>
      <c r="F16" s="86">
        <v>598.79999999999995</v>
      </c>
      <c r="G16" s="21">
        <v>628.1</v>
      </c>
      <c r="H16" s="21">
        <v>658.6</v>
      </c>
      <c r="I16" s="21">
        <v>690.2</v>
      </c>
      <c r="J16" s="21">
        <v>723.1</v>
      </c>
      <c r="K16" s="85">
        <v>740</v>
      </c>
    </row>
    <row r="17" spans="2:11" x14ac:dyDescent="0.2">
      <c r="B17" s="84" t="s">
        <v>372</v>
      </c>
      <c r="C17" s="21">
        <v>65.900000000000006</v>
      </c>
      <c r="D17" s="85">
        <v>122</v>
      </c>
      <c r="E17" s="21"/>
      <c r="F17" s="86">
        <v>69.5</v>
      </c>
      <c r="G17" s="21">
        <v>77.599999999999994</v>
      </c>
      <c r="H17" s="21">
        <v>86.1</v>
      </c>
      <c r="I17" s="21">
        <v>94.8</v>
      </c>
      <c r="J17" s="21">
        <v>103.9</v>
      </c>
      <c r="K17" s="85">
        <v>108.6</v>
      </c>
    </row>
    <row r="18" spans="2:11" x14ac:dyDescent="0.2">
      <c r="B18" s="84" t="s">
        <v>373</v>
      </c>
      <c r="C18" s="21">
        <v>57.4</v>
      </c>
      <c r="D18" s="85">
        <v>105</v>
      </c>
      <c r="E18" s="21"/>
      <c r="F18" s="86">
        <v>52.5</v>
      </c>
      <c r="G18" s="21">
        <v>60.6</v>
      </c>
      <c r="H18" s="21">
        <v>69.099999999999994</v>
      </c>
      <c r="I18" s="21">
        <v>77.8</v>
      </c>
      <c r="J18" s="21">
        <v>86.9</v>
      </c>
      <c r="K18" s="85">
        <v>91.6</v>
      </c>
    </row>
    <row r="19" spans="2:11" x14ac:dyDescent="0.2">
      <c r="B19" s="84" t="s">
        <v>105</v>
      </c>
      <c r="C19" s="40">
        <v>0.13400000000000001</v>
      </c>
      <c r="D19" s="98">
        <v>0.157</v>
      </c>
      <c r="E19" s="21"/>
      <c r="F19" s="99">
        <v>0.11600000000000001</v>
      </c>
      <c r="G19" s="40">
        <v>0.124</v>
      </c>
      <c r="H19" s="40">
        <v>0.13100000000000001</v>
      </c>
      <c r="I19" s="40">
        <v>0.13700000000000001</v>
      </c>
      <c r="J19" s="40">
        <v>0.14399999999999999</v>
      </c>
      <c r="K19" s="98">
        <v>0.14699999999999999</v>
      </c>
    </row>
    <row r="20" spans="2:11" x14ac:dyDescent="0.2">
      <c r="B20" s="87" t="s">
        <v>106</v>
      </c>
      <c r="C20" s="41">
        <v>0.11700000000000001</v>
      </c>
      <c r="D20" s="100">
        <v>0.13500000000000001</v>
      </c>
      <c r="E20" s="21"/>
      <c r="F20" s="101">
        <v>8.7999999999999995E-2</v>
      </c>
      <c r="G20" s="41">
        <v>9.7000000000000003E-2</v>
      </c>
      <c r="H20" s="41">
        <v>0.105</v>
      </c>
      <c r="I20" s="41">
        <v>0.113</v>
      </c>
      <c r="J20" s="41">
        <v>0.12</v>
      </c>
      <c r="K20" s="100">
        <v>0.124</v>
      </c>
    </row>
    <row r="21" spans="2:11" x14ac:dyDescent="0.2">
      <c r="B21" s="22"/>
      <c r="C21" s="21"/>
      <c r="D21" s="21"/>
      <c r="E21" s="21"/>
      <c r="F21" s="21"/>
      <c r="G21" s="21"/>
      <c r="H21" s="21"/>
      <c r="I21" s="21"/>
      <c r="J21" s="21"/>
      <c r="K21" s="21"/>
    </row>
    <row r="22" spans="2:11" x14ac:dyDescent="0.2">
      <c r="B22" s="61" t="s">
        <v>107</v>
      </c>
      <c r="C22" s="21"/>
      <c r="D22" s="21"/>
      <c r="E22" s="21"/>
      <c r="F22" s="21"/>
      <c r="G22" s="21"/>
      <c r="H22" s="21"/>
      <c r="I22" s="21"/>
      <c r="J22" s="21"/>
      <c r="K22" s="21"/>
    </row>
    <row r="23" spans="2:11" x14ac:dyDescent="0.2">
      <c r="B23" s="80" t="s">
        <v>108</v>
      </c>
      <c r="C23" s="81"/>
      <c r="D23" s="82"/>
      <c r="E23" s="21"/>
      <c r="F23" s="83"/>
      <c r="G23" s="81"/>
      <c r="H23" s="81"/>
      <c r="I23" s="81"/>
      <c r="J23" s="81"/>
      <c r="K23" s="82"/>
    </row>
    <row r="24" spans="2:11" x14ac:dyDescent="0.2">
      <c r="B24" s="84" t="s">
        <v>95</v>
      </c>
      <c r="C24" s="21"/>
      <c r="D24" s="98">
        <v>0.247</v>
      </c>
      <c r="E24" s="21"/>
      <c r="F24" s="99">
        <v>-0.05</v>
      </c>
      <c r="G24" s="40">
        <v>1.4E-2</v>
      </c>
      <c r="H24" s="40">
        <v>6.9000000000000006E-2</v>
      </c>
      <c r="I24" s="40">
        <v>0.13</v>
      </c>
      <c r="J24" s="40">
        <v>0.17299999999999999</v>
      </c>
      <c r="K24" s="98">
        <v>0.19400000000000001</v>
      </c>
    </row>
    <row r="25" spans="2:11" x14ac:dyDescent="0.2">
      <c r="B25" s="84" t="s">
        <v>109</v>
      </c>
      <c r="C25" s="21"/>
      <c r="D25" s="85" t="s">
        <v>241</v>
      </c>
      <c r="E25" s="21"/>
      <c r="F25" s="86" t="s">
        <v>224</v>
      </c>
      <c r="G25" s="21" t="s">
        <v>161</v>
      </c>
      <c r="H25" s="21" t="s">
        <v>160</v>
      </c>
      <c r="I25" s="21" t="s">
        <v>206</v>
      </c>
      <c r="J25" s="21" t="s">
        <v>243</v>
      </c>
      <c r="K25" s="85" t="s">
        <v>281</v>
      </c>
    </row>
    <row r="26" spans="2:11" x14ac:dyDescent="0.2">
      <c r="B26" s="84"/>
      <c r="C26" s="21"/>
      <c r="D26" s="85"/>
      <c r="E26" s="21"/>
      <c r="F26" s="86"/>
      <c r="G26" s="21"/>
      <c r="H26" s="21"/>
      <c r="I26" s="21"/>
      <c r="J26" s="21"/>
      <c r="K26" s="85"/>
    </row>
    <row r="27" spans="2:11" x14ac:dyDescent="0.2">
      <c r="B27" s="94" t="s">
        <v>110</v>
      </c>
      <c r="C27" s="21"/>
      <c r="D27" s="85"/>
      <c r="E27" s="21"/>
      <c r="F27" s="86"/>
      <c r="G27" s="21"/>
      <c r="H27" s="21"/>
      <c r="I27" s="21"/>
      <c r="J27" s="21"/>
      <c r="K27" s="85"/>
    </row>
    <row r="28" spans="2:11" x14ac:dyDescent="0.2">
      <c r="B28" s="84" t="s">
        <v>95</v>
      </c>
      <c r="C28" s="21"/>
      <c r="D28" s="98">
        <v>0.248</v>
      </c>
      <c r="E28" s="21"/>
      <c r="F28" s="99">
        <v>-1E-3</v>
      </c>
      <c r="G28" s="40">
        <v>6.6000000000000003E-2</v>
      </c>
      <c r="H28" s="40">
        <v>0.123</v>
      </c>
      <c r="I28" s="40">
        <v>0.16700000000000001</v>
      </c>
      <c r="J28" s="40">
        <v>0.19400000000000001</v>
      </c>
      <c r="K28" s="98">
        <v>0.20899999999999999</v>
      </c>
    </row>
    <row r="29" spans="2:11" x14ac:dyDescent="0.2">
      <c r="B29" s="87" t="s">
        <v>109</v>
      </c>
      <c r="C29" s="32"/>
      <c r="D29" s="88" t="s">
        <v>367</v>
      </c>
      <c r="E29" s="21"/>
      <c r="F29" s="91" t="s">
        <v>171</v>
      </c>
      <c r="G29" s="32" t="s">
        <v>160</v>
      </c>
      <c r="H29" s="32" t="s">
        <v>206</v>
      </c>
      <c r="I29" s="32" t="s">
        <v>243</v>
      </c>
      <c r="J29" s="32" t="s">
        <v>368</v>
      </c>
      <c r="K29" s="88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50"/>
  <sheetViews>
    <sheetView zoomScale="125" zoomScaleNormal="85" workbookViewId="0">
      <selection activeCell="B6" sqref="B6"/>
    </sheetView>
  </sheetViews>
  <sheetFormatPr baseColWidth="10" defaultColWidth="4.5703125" defaultRowHeight="16" x14ac:dyDescent="0.2"/>
  <cols>
    <col min="1" max="1" width="4.5703125" style="1"/>
    <col min="2" max="2" width="39.28515625" style="1" bestFit="1" customWidth="1"/>
    <col min="3" max="4" width="8.28515625" style="1" customWidth="1"/>
    <col min="5" max="13" width="6.7109375" style="1" customWidth="1"/>
    <col min="14" max="16384" width="4.5703125" style="1"/>
  </cols>
  <sheetData>
    <row r="2" spans="2:13" x14ac:dyDescent="0.2">
      <c r="B2" s="48" t="s">
        <v>54</v>
      </c>
      <c r="C2" s="20"/>
      <c r="D2" s="20"/>
      <c r="E2" s="20"/>
      <c r="F2" s="21"/>
      <c r="G2" s="21"/>
      <c r="H2" s="21"/>
      <c r="I2" s="21"/>
      <c r="J2" s="20"/>
      <c r="K2" s="20"/>
      <c r="L2" s="20"/>
      <c r="M2" s="20"/>
    </row>
    <row r="3" spans="2:13" s="6" customFormat="1" x14ac:dyDescent="0.2">
      <c r="B3" s="36" t="s">
        <v>112</v>
      </c>
      <c r="C3" s="37" t="s">
        <v>144</v>
      </c>
      <c r="D3" s="37" t="s">
        <v>137</v>
      </c>
      <c r="E3" s="38" t="s">
        <v>134</v>
      </c>
      <c r="F3" s="37" t="s">
        <v>145</v>
      </c>
      <c r="G3" s="37" t="s">
        <v>146</v>
      </c>
      <c r="H3" s="37" t="s">
        <v>147</v>
      </c>
      <c r="I3" s="37" t="s">
        <v>148</v>
      </c>
      <c r="J3" s="37" t="s">
        <v>149</v>
      </c>
      <c r="K3" s="37" t="s">
        <v>150</v>
      </c>
      <c r="L3" s="37" t="s">
        <v>151</v>
      </c>
      <c r="M3" s="37" t="s">
        <v>152</v>
      </c>
    </row>
    <row r="4" spans="2:13" x14ac:dyDescent="0.2">
      <c r="B4" s="22" t="s">
        <v>55</v>
      </c>
      <c r="C4" s="21">
        <v>389</v>
      </c>
      <c r="D4" s="21">
        <v>452.2</v>
      </c>
      <c r="E4" s="23">
        <v>491.1</v>
      </c>
      <c r="F4" s="21">
        <v>536</v>
      </c>
      <c r="G4" s="21">
        <v>592.4</v>
      </c>
      <c r="H4" s="21">
        <v>657.4</v>
      </c>
      <c r="I4" s="21">
        <v>728.9</v>
      </c>
      <c r="J4" s="21">
        <v>774.7</v>
      </c>
      <c r="K4" s="21">
        <v>801.6</v>
      </c>
      <c r="L4" s="21">
        <v>828.7</v>
      </c>
      <c r="M4" s="21">
        <v>855.5</v>
      </c>
    </row>
    <row r="5" spans="2:13" x14ac:dyDescent="0.2">
      <c r="B5" s="22" t="s">
        <v>56</v>
      </c>
      <c r="C5" s="21">
        <v>32.6</v>
      </c>
      <c r="D5" s="21">
        <v>48.5</v>
      </c>
      <c r="E5" s="23">
        <v>57.4</v>
      </c>
      <c r="F5" s="21">
        <v>26.9</v>
      </c>
      <c r="G5" s="21">
        <v>40.9</v>
      </c>
      <c r="H5" s="21">
        <v>54.9</v>
      </c>
      <c r="I5" s="21">
        <v>63.6</v>
      </c>
      <c r="J5" s="21">
        <v>75.3</v>
      </c>
      <c r="K5" s="21">
        <v>82.4</v>
      </c>
      <c r="L5" s="21">
        <v>89.9</v>
      </c>
      <c r="M5" s="21">
        <v>97.7</v>
      </c>
    </row>
    <row r="6" spans="2:13" x14ac:dyDescent="0.2">
      <c r="B6" s="22" t="s">
        <v>57</v>
      </c>
      <c r="C6" s="21">
        <v>0</v>
      </c>
      <c r="D6" s="21">
        <v>0</v>
      </c>
      <c r="E6" s="23">
        <v>0</v>
      </c>
      <c r="F6" s="21">
        <v>29.7</v>
      </c>
      <c r="G6" s="21">
        <v>29.7</v>
      </c>
      <c r="H6" s="21">
        <v>29.7</v>
      </c>
      <c r="I6" s="21">
        <v>29.7</v>
      </c>
      <c r="J6" s="21">
        <v>29.7</v>
      </c>
      <c r="K6" s="21">
        <v>29.7</v>
      </c>
      <c r="L6" s="21">
        <v>29.7</v>
      </c>
      <c r="M6" s="21">
        <v>29.7</v>
      </c>
    </row>
    <row r="7" spans="2:13" x14ac:dyDescent="0.2">
      <c r="B7" s="22" t="s">
        <v>58</v>
      </c>
      <c r="C7" s="21"/>
      <c r="D7" s="21">
        <v>0</v>
      </c>
      <c r="E7" s="23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</row>
    <row r="8" spans="2:13" x14ac:dyDescent="0.2">
      <c r="B8" s="22" t="s">
        <v>59</v>
      </c>
      <c r="C8" s="21">
        <v>-8.1999999999999993</v>
      </c>
      <c r="D8" s="21">
        <v>-12.1</v>
      </c>
      <c r="E8" s="23">
        <v>-14.3</v>
      </c>
      <c r="F8" s="21">
        <v>-14.1</v>
      </c>
      <c r="G8" s="21">
        <v>-17.600000000000001</v>
      </c>
      <c r="H8" s="21">
        <v>-21.1</v>
      </c>
      <c r="I8" s="21">
        <v>-23.3</v>
      </c>
      <c r="J8" s="21">
        <v>-26.3</v>
      </c>
      <c r="K8" s="21">
        <v>-28</v>
      </c>
      <c r="L8" s="21">
        <v>-29.9</v>
      </c>
      <c r="M8" s="21">
        <v>-31.8</v>
      </c>
    </row>
    <row r="9" spans="2:13" x14ac:dyDescent="0.2">
      <c r="B9" s="24" t="s">
        <v>60</v>
      </c>
      <c r="C9" s="25">
        <f>SUM(C5:C8)</f>
        <v>24.400000000000002</v>
      </c>
      <c r="D9" s="25">
        <f t="shared" ref="D9:M9" si="0">SUM(D5:D8)</f>
        <v>36.4</v>
      </c>
      <c r="E9" s="25">
        <f t="shared" si="0"/>
        <v>43.099999999999994</v>
      </c>
      <c r="F9" s="25">
        <f t="shared" si="0"/>
        <v>42.499999999999993</v>
      </c>
      <c r="G9" s="25">
        <f t="shared" si="0"/>
        <v>52.999999999999993</v>
      </c>
      <c r="H9" s="25">
        <f t="shared" si="0"/>
        <v>63.499999999999993</v>
      </c>
      <c r="I9" s="25">
        <f t="shared" si="0"/>
        <v>70</v>
      </c>
      <c r="J9" s="25">
        <f t="shared" si="0"/>
        <v>78.7</v>
      </c>
      <c r="K9" s="25">
        <f t="shared" si="0"/>
        <v>84.100000000000009</v>
      </c>
      <c r="L9" s="25">
        <f t="shared" si="0"/>
        <v>89.700000000000017</v>
      </c>
      <c r="M9" s="25">
        <f t="shared" si="0"/>
        <v>95.600000000000009</v>
      </c>
    </row>
    <row r="10" spans="2:13" s="7" customFormat="1" ht="12.75" customHeight="1" x14ac:dyDescent="0.15">
      <c r="B10" s="42" t="s">
        <v>61</v>
      </c>
      <c r="C10" s="43"/>
      <c r="D10" s="44">
        <f>D9/C9-1</f>
        <v>0.49180327868852447</v>
      </c>
      <c r="E10" s="44">
        <f t="shared" ref="E10:M10" si="1">E9/D9-1</f>
        <v>0.18406593406593386</v>
      </c>
      <c r="F10" s="44">
        <f t="shared" si="1"/>
        <v>-1.392111368909521E-2</v>
      </c>
      <c r="G10" s="44">
        <f t="shared" si="1"/>
        <v>0.24705882352941178</v>
      </c>
      <c r="H10" s="44">
        <f t="shared" si="1"/>
        <v>0.19811320754716988</v>
      </c>
      <c r="I10" s="44">
        <f t="shared" si="1"/>
        <v>0.10236220472440949</v>
      </c>
      <c r="J10" s="44">
        <f t="shared" si="1"/>
        <v>0.12428571428571433</v>
      </c>
      <c r="K10" s="44">
        <f t="shared" si="1"/>
        <v>6.8614993646759936E-2</v>
      </c>
      <c r="L10" s="44">
        <f t="shared" si="1"/>
        <v>6.6587395957193873E-2</v>
      </c>
      <c r="M10" s="44">
        <f t="shared" si="1"/>
        <v>6.577480490523957E-2</v>
      </c>
    </row>
    <row r="11" spans="2:13" s="7" customFormat="1" ht="12.75" customHeight="1" x14ac:dyDescent="0.15">
      <c r="B11" s="27"/>
      <c r="C11" s="28"/>
      <c r="D11" s="28"/>
      <c r="E11" s="28"/>
      <c r="F11" s="29"/>
      <c r="G11" s="29"/>
      <c r="H11" s="29"/>
      <c r="I11" s="29"/>
      <c r="J11" s="29"/>
      <c r="K11" s="29"/>
      <c r="L11" s="29"/>
      <c r="M11" s="29"/>
    </row>
    <row r="12" spans="2:13" x14ac:dyDescent="0.2">
      <c r="B12" s="22" t="s">
        <v>62</v>
      </c>
      <c r="C12" s="21"/>
      <c r="D12" s="21"/>
      <c r="E12" s="23"/>
      <c r="F12" s="21">
        <v>9</v>
      </c>
      <c r="G12" s="21">
        <v>10.5</v>
      </c>
      <c r="H12" s="21">
        <v>12.4</v>
      </c>
      <c r="I12" s="21">
        <v>15.1</v>
      </c>
      <c r="J12" s="21">
        <v>17</v>
      </c>
      <c r="K12" s="21">
        <v>16.399999999999999</v>
      </c>
      <c r="L12" s="21">
        <v>15.4</v>
      </c>
      <c r="M12" s="21">
        <v>13.8</v>
      </c>
    </row>
    <row r="13" spans="2:13" x14ac:dyDescent="0.2">
      <c r="B13" s="22" t="s">
        <v>63</v>
      </c>
      <c r="C13" s="21"/>
      <c r="D13" s="21"/>
      <c r="E13" s="23"/>
      <c r="F13" s="21">
        <v>-27.6</v>
      </c>
      <c r="G13" s="21">
        <v>-28.8</v>
      </c>
      <c r="H13" s="21">
        <v>-23.3</v>
      </c>
      <c r="I13" s="21">
        <v>-18.100000000000001</v>
      </c>
      <c r="J13" s="21">
        <v>-12.9</v>
      </c>
      <c r="K13" s="21">
        <v>-13.4</v>
      </c>
      <c r="L13" s="21">
        <v>-13.9</v>
      </c>
      <c r="M13" s="21">
        <v>-14.3</v>
      </c>
    </row>
    <row r="14" spans="2:13" x14ac:dyDescent="0.2">
      <c r="B14" s="24" t="s">
        <v>64</v>
      </c>
      <c r="C14" s="25"/>
      <c r="D14" s="25"/>
      <c r="E14" s="26"/>
      <c r="F14" s="25">
        <v>3.3</v>
      </c>
      <c r="G14" s="25">
        <v>-5.3</v>
      </c>
      <c r="H14" s="25">
        <v>-7.1</v>
      </c>
      <c r="I14" s="25">
        <v>-9.1999999999999993</v>
      </c>
      <c r="J14" s="25">
        <v>-3.5</v>
      </c>
      <c r="K14" s="25">
        <v>-4.2</v>
      </c>
      <c r="L14" s="25">
        <v>-4</v>
      </c>
      <c r="M14" s="25">
        <v>-4.2</v>
      </c>
    </row>
    <row r="15" spans="2:13" x14ac:dyDescent="0.2">
      <c r="B15" s="22" t="s">
        <v>65</v>
      </c>
      <c r="C15" s="21"/>
      <c r="D15" s="21"/>
      <c r="E15" s="23"/>
      <c r="F15" s="21">
        <f>SUM(F12:F14,F9)</f>
        <v>27.199999999999992</v>
      </c>
      <c r="G15" s="21">
        <f t="shared" ref="G15:M15" si="2">SUM(G12:G14,G9)</f>
        <v>29.399999999999991</v>
      </c>
      <c r="H15" s="21">
        <f t="shared" si="2"/>
        <v>45.499999999999993</v>
      </c>
      <c r="I15" s="21">
        <f t="shared" si="2"/>
        <v>57.8</v>
      </c>
      <c r="J15" s="21">
        <f t="shared" si="2"/>
        <v>79.3</v>
      </c>
      <c r="K15" s="21">
        <f t="shared" si="2"/>
        <v>82.9</v>
      </c>
      <c r="L15" s="21">
        <f t="shared" si="2"/>
        <v>87.200000000000017</v>
      </c>
      <c r="M15" s="21">
        <f t="shared" si="2"/>
        <v>90.9</v>
      </c>
    </row>
    <row r="16" spans="2:13" s="7" customFormat="1" ht="11.25" customHeight="1" x14ac:dyDescent="0.15">
      <c r="B16" s="42" t="s">
        <v>66</v>
      </c>
      <c r="C16" s="43"/>
      <c r="D16" s="43"/>
      <c r="E16" s="45"/>
      <c r="F16" s="44">
        <v>-0.36899999999999999</v>
      </c>
      <c r="G16" s="44">
        <f>G15/F15-1</f>
        <v>8.0882352941176405E-2</v>
      </c>
      <c r="H16" s="44">
        <f t="shared" ref="H16:M16" si="3">H15/G15-1</f>
        <v>0.54761904761904789</v>
      </c>
      <c r="I16" s="44">
        <f t="shared" si="3"/>
        <v>0.27032967032967048</v>
      </c>
      <c r="J16" s="44">
        <f t="shared" si="3"/>
        <v>0.37197231833910038</v>
      </c>
      <c r="K16" s="44">
        <f t="shared" si="3"/>
        <v>4.5397225725094748E-2</v>
      </c>
      <c r="L16" s="44">
        <f t="shared" si="3"/>
        <v>5.1869722557298159E-2</v>
      </c>
      <c r="M16" s="44">
        <f t="shared" si="3"/>
        <v>4.2431192660550288E-2</v>
      </c>
    </row>
    <row r="17" spans="2:13" s="7" customFormat="1" ht="11.25" customHeight="1" x14ac:dyDescent="0.15">
      <c r="B17" s="42" t="s">
        <v>67</v>
      </c>
      <c r="C17" s="43"/>
      <c r="D17" s="43"/>
      <c r="E17" s="45"/>
      <c r="F17" s="44"/>
      <c r="G17" s="44">
        <v>0.69099999999999995</v>
      </c>
      <c r="H17" s="44">
        <v>0.44500000000000001</v>
      </c>
      <c r="I17" s="44">
        <v>0.36499999999999999</v>
      </c>
      <c r="J17" s="44">
        <v>0.71699999999999997</v>
      </c>
      <c r="K17" s="44">
        <v>-8.8379999999999992</v>
      </c>
      <c r="L17" s="44">
        <v>4.8849999999999998</v>
      </c>
      <c r="M17" s="44">
        <v>2.36</v>
      </c>
    </row>
    <row r="18" spans="2:13" s="7" customFormat="1" ht="11.25" customHeight="1" x14ac:dyDescent="0.15">
      <c r="B18" s="27"/>
      <c r="C18" s="28"/>
      <c r="D18" s="28"/>
      <c r="E18" s="30"/>
      <c r="F18" s="49"/>
      <c r="G18" s="49"/>
      <c r="H18" s="49"/>
      <c r="I18" s="49"/>
      <c r="J18" s="49"/>
      <c r="K18" s="49"/>
      <c r="L18" s="49"/>
      <c r="M18" s="49"/>
    </row>
    <row r="19" spans="2:13" x14ac:dyDescent="0.2">
      <c r="B19" s="22" t="s">
        <v>68</v>
      </c>
      <c r="C19" s="21"/>
      <c r="D19" s="21"/>
      <c r="E19" s="23"/>
      <c r="F19" s="21">
        <v>0.5</v>
      </c>
      <c r="G19" s="21">
        <v>1.5</v>
      </c>
      <c r="H19" s="21">
        <v>2.5</v>
      </c>
      <c r="I19" s="21">
        <v>3.5</v>
      </c>
      <c r="J19" s="21">
        <v>4.5</v>
      </c>
      <c r="K19" s="21">
        <v>5.5</v>
      </c>
      <c r="L19" s="21">
        <v>6.5</v>
      </c>
      <c r="M19" s="21">
        <v>7.5</v>
      </c>
    </row>
    <row r="20" spans="2:13" x14ac:dyDescent="0.2">
      <c r="B20" s="22" t="s">
        <v>69</v>
      </c>
      <c r="C20" s="21"/>
      <c r="D20" s="21"/>
      <c r="E20" s="23"/>
      <c r="F20" s="21">
        <v>0.95499999999999996</v>
      </c>
      <c r="G20" s="21">
        <v>0.871</v>
      </c>
      <c r="H20" s="21">
        <v>0.79500000000000004</v>
      </c>
      <c r="I20" s="21">
        <v>0.72499999999999998</v>
      </c>
      <c r="J20" s="21">
        <v>0.66100000000000003</v>
      </c>
      <c r="K20" s="21">
        <v>0.60299999999999998</v>
      </c>
      <c r="L20" s="21">
        <v>0.55000000000000004</v>
      </c>
      <c r="M20" s="21">
        <v>0.502</v>
      </c>
    </row>
    <row r="21" spans="2:13" x14ac:dyDescent="0.2">
      <c r="B21" s="22" t="s">
        <v>70</v>
      </c>
      <c r="C21" s="21"/>
      <c r="D21" s="21"/>
      <c r="E21" s="23"/>
      <c r="F21" s="21">
        <v>26</v>
      </c>
      <c r="G21" s="21">
        <v>25.6</v>
      </c>
      <c r="H21" s="21">
        <v>36.1</v>
      </c>
      <c r="I21" s="21">
        <v>41.9</v>
      </c>
      <c r="J21" s="21">
        <v>52.5</v>
      </c>
      <c r="K21" s="21">
        <v>50</v>
      </c>
      <c r="L21" s="21">
        <v>48</v>
      </c>
      <c r="M21" s="21">
        <v>45.6</v>
      </c>
    </row>
    <row r="22" spans="2:13" x14ac:dyDescent="0.2">
      <c r="B22" s="31" t="s">
        <v>71</v>
      </c>
      <c r="C22" s="32"/>
      <c r="D22" s="32"/>
      <c r="E22" s="33"/>
      <c r="F22" s="32">
        <v>26</v>
      </c>
      <c r="G22" s="32">
        <v>51.5</v>
      </c>
      <c r="H22" s="32">
        <v>87.6</v>
      </c>
      <c r="I22" s="32">
        <v>129.5</v>
      </c>
      <c r="J22" s="32">
        <v>182</v>
      </c>
      <c r="K22" s="32">
        <v>232</v>
      </c>
      <c r="L22" s="32">
        <v>280</v>
      </c>
      <c r="M22" s="32">
        <v>325.60000000000002</v>
      </c>
    </row>
    <row r="25" spans="2:13" x14ac:dyDescent="0.2">
      <c r="B25" s="48" t="s">
        <v>72</v>
      </c>
      <c r="C25" s="20"/>
      <c r="D25" s="20"/>
      <c r="G25" s="48" t="s">
        <v>153</v>
      </c>
      <c r="H25" s="21"/>
    </row>
    <row r="26" spans="2:13" x14ac:dyDescent="0.2">
      <c r="B26" s="36" t="s">
        <v>112</v>
      </c>
      <c r="C26" s="37" t="s">
        <v>73</v>
      </c>
      <c r="D26" s="37" t="s">
        <v>74</v>
      </c>
      <c r="G26" s="36" t="s">
        <v>82</v>
      </c>
      <c r="H26" s="37"/>
      <c r="I26" s="39"/>
      <c r="J26" s="39"/>
      <c r="K26" s="39"/>
      <c r="L26" s="39"/>
      <c r="M26" s="39"/>
    </row>
    <row r="27" spans="2:13" x14ac:dyDescent="0.2">
      <c r="B27" s="22" t="s">
        <v>75</v>
      </c>
      <c r="C27" s="21">
        <v>408</v>
      </c>
      <c r="D27" s="21">
        <v>408</v>
      </c>
      <c r="G27" s="261" t="s">
        <v>83</v>
      </c>
      <c r="H27" s="261"/>
      <c r="I27" s="261"/>
      <c r="J27" s="261"/>
      <c r="K27" s="261"/>
      <c r="L27" s="261"/>
      <c r="M27" s="40">
        <v>4.1000000000000002E-2</v>
      </c>
    </row>
    <row r="28" spans="2:13" x14ac:dyDescent="0.2">
      <c r="B28" s="22" t="s">
        <v>76</v>
      </c>
      <c r="C28" s="21">
        <v>468</v>
      </c>
      <c r="D28" s="21">
        <v>538</v>
      </c>
      <c r="G28" s="261" t="s">
        <v>84</v>
      </c>
      <c r="H28" s="261"/>
      <c r="I28" s="261"/>
      <c r="J28" s="261"/>
      <c r="K28" s="261"/>
      <c r="L28" s="261"/>
      <c r="M28" s="40">
        <v>0.04</v>
      </c>
    </row>
    <row r="29" spans="2:13" x14ac:dyDescent="0.2">
      <c r="B29" s="22" t="s">
        <v>77</v>
      </c>
      <c r="C29" s="21">
        <v>876</v>
      </c>
      <c r="D29" s="21">
        <v>947</v>
      </c>
      <c r="G29" s="261" t="s">
        <v>85</v>
      </c>
      <c r="H29" s="261"/>
      <c r="I29" s="261"/>
      <c r="J29" s="261"/>
      <c r="K29" s="261"/>
      <c r="L29" s="261"/>
      <c r="M29" s="40">
        <v>0.01</v>
      </c>
    </row>
    <row r="30" spans="2:13" x14ac:dyDescent="0.2">
      <c r="B30" s="22"/>
      <c r="C30" s="21"/>
      <c r="D30" s="21"/>
      <c r="G30" s="261" t="s">
        <v>142</v>
      </c>
      <c r="H30" s="261"/>
      <c r="I30" s="261"/>
      <c r="J30" s="261"/>
      <c r="K30" s="261"/>
      <c r="L30" s="261"/>
      <c r="M30" s="21">
        <v>1.03</v>
      </c>
    </row>
    <row r="31" spans="2:13" x14ac:dyDescent="0.2">
      <c r="G31" s="261" t="s">
        <v>143</v>
      </c>
      <c r="H31" s="261"/>
      <c r="I31" s="261"/>
      <c r="J31" s="261"/>
      <c r="K31" s="261"/>
      <c r="L31" s="261"/>
      <c r="M31" s="21">
        <v>1.29</v>
      </c>
    </row>
    <row r="32" spans="2:13" x14ac:dyDescent="0.2">
      <c r="B32" s="48" t="s">
        <v>78</v>
      </c>
      <c r="C32" s="21"/>
      <c r="D32" s="21"/>
      <c r="G32" s="261" t="s">
        <v>86</v>
      </c>
      <c r="H32" s="261"/>
      <c r="I32" s="261"/>
      <c r="J32" s="261"/>
      <c r="K32" s="261"/>
      <c r="L32" s="261"/>
      <c r="M32" s="40">
        <v>0.105</v>
      </c>
    </row>
    <row r="33" spans="2:13" x14ac:dyDescent="0.2">
      <c r="B33" s="36"/>
      <c r="C33" s="37" t="s">
        <v>73</v>
      </c>
      <c r="D33" s="37" t="s">
        <v>74</v>
      </c>
      <c r="G33" s="261" t="s">
        <v>87</v>
      </c>
      <c r="H33" s="261"/>
      <c r="I33" s="261"/>
      <c r="J33" s="261"/>
      <c r="K33" s="261"/>
      <c r="L33" s="261"/>
      <c r="M33" s="40">
        <v>0.05</v>
      </c>
    </row>
    <row r="34" spans="2:13" x14ac:dyDescent="0.2">
      <c r="B34" s="22" t="s">
        <v>79</v>
      </c>
      <c r="C34" s="34">
        <v>0.47</v>
      </c>
      <c r="D34" s="34">
        <v>0.43</v>
      </c>
      <c r="G34" s="261" t="s">
        <v>88</v>
      </c>
      <c r="H34" s="261"/>
      <c r="I34" s="261"/>
      <c r="J34" s="261"/>
      <c r="K34" s="261"/>
      <c r="L34" s="261"/>
      <c r="M34" s="34">
        <v>0.25</v>
      </c>
    </row>
    <row r="35" spans="2:13" x14ac:dyDescent="0.2">
      <c r="B35" s="22" t="s">
        <v>80</v>
      </c>
      <c r="C35" s="34">
        <v>0.53</v>
      </c>
      <c r="D35" s="34">
        <v>0.56999999999999995</v>
      </c>
      <c r="G35" s="261" t="s">
        <v>89</v>
      </c>
      <c r="H35" s="261"/>
      <c r="I35" s="261"/>
      <c r="J35" s="261"/>
      <c r="K35" s="261"/>
      <c r="L35" s="261"/>
      <c r="M35" s="40">
        <v>6.8000000000000005E-2</v>
      </c>
    </row>
    <row r="36" spans="2:13" x14ac:dyDescent="0.2">
      <c r="B36" s="31" t="s">
        <v>81</v>
      </c>
      <c r="C36" s="35">
        <v>1</v>
      </c>
      <c r="D36" s="35">
        <v>1</v>
      </c>
      <c r="G36" s="261" t="s">
        <v>90</v>
      </c>
      <c r="H36" s="261"/>
      <c r="I36" s="261"/>
      <c r="J36" s="261"/>
      <c r="K36" s="261"/>
      <c r="L36" s="261"/>
      <c r="M36" s="34">
        <v>0.75</v>
      </c>
    </row>
    <row r="37" spans="2:13" x14ac:dyDescent="0.2">
      <c r="D37" s="21"/>
      <c r="G37" s="261" t="s">
        <v>91</v>
      </c>
      <c r="H37" s="261"/>
      <c r="I37" s="261"/>
      <c r="J37" s="261"/>
      <c r="K37" s="261"/>
      <c r="L37" s="261"/>
      <c r="M37" s="34">
        <v>0.25</v>
      </c>
    </row>
    <row r="38" spans="2:13" x14ac:dyDescent="0.2">
      <c r="D38" s="21"/>
      <c r="G38" s="260" t="s">
        <v>92</v>
      </c>
      <c r="H38" s="260"/>
      <c r="I38" s="260"/>
      <c r="J38" s="260"/>
      <c r="K38" s="260"/>
      <c r="L38" s="260"/>
      <c r="M38" s="41">
        <v>9.6000000000000002E-2</v>
      </c>
    </row>
    <row r="39" spans="2:13" x14ac:dyDescent="0.2">
      <c r="D39" s="21"/>
    </row>
    <row r="40" spans="2:13" x14ac:dyDescent="0.2">
      <c r="D40" s="21"/>
    </row>
    <row r="41" spans="2:13" x14ac:dyDescent="0.2">
      <c r="D41" s="21"/>
    </row>
    <row r="42" spans="2:13" x14ac:dyDescent="0.2">
      <c r="D42" s="21"/>
    </row>
    <row r="43" spans="2:13" x14ac:dyDescent="0.2">
      <c r="D43" s="21"/>
    </row>
    <row r="44" spans="2:13" x14ac:dyDescent="0.2">
      <c r="D44" s="21"/>
    </row>
    <row r="45" spans="2:13" x14ac:dyDescent="0.2">
      <c r="D45" s="21"/>
    </row>
    <row r="46" spans="2:13" x14ac:dyDescent="0.2">
      <c r="D46" s="21"/>
    </row>
    <row r="47" spans="2:13" x14ac:dyDescent="0.2">
      <c r="D47" s="21"/>
    </row>
    <row r="48" spans="2:13" x14ac:dyDescent="0.2">
      <c r="D48" s="21"/>
    </row>
    <row r="49" spans="4:4" x14ac:dyDescent="0.2">
      <c r="D49" s="21"/>
    </row>
    <row r="50" spans="4:4" x14ac:dyDescent="0.2">
      <c r="D50" s="21"/>
    </row>
  </sheetData>
  <mergeCells count="12">
    <mergeCell ref="G38:L38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53"/>
  <sheetViews>
    <sheetView zoomScale="75" zoomScaleNormal="85" workbookViewId="0">
      <selection activeCell="Y41" sqref="Y41"/>
    </sheetView>
  </sheetViews>
  <sheetFormatPr baseColWidth="10" defaultColWidth="4.5703125" defaultRowHeight="16" x14ac:dyDescent="0.2"/>
  <cols>
    <col min="1" max="1" width="4.5703125" style="1"/>
    <col min="2" max="2" width="20.140625" style="1" bestFit="1" customWidth="1"/>
    <col min="3" max="3" width="8.85546875" style="1" customWidth="1"/>
    <col min="4" max="4" width="7.140625" style="1" customWidth="1"/>
    <col min="5" max="5" width="3.42578125" style="1" customWidth="1"/>
    <col min="6" max="9" width="6.5703125" style="1" customWidth="1"/>
    <col min="10" max="10" width="3.42578125" style="1" customWidth="1"/>
    <col min="11" max="14" width="6.5703125" style="1" customWidth="1"/>
    <col min="15" max="15" width="3.42578125" style="1" customWidth="1"/>
    <col min="16" max="19" width="6.5703125" style="1" customWidth="1"/>
    <col min="20" max="16384" width="4.5703125" style="1"/>
  </cols>
  <sheetData>
    <row r="2" spans="2:19" x14ac:dyDescent="0.2">
      <c r="B2" s="3" t="s">
        <v>295</v>
      </c>
    </row>
    <row r="3" spans="2:19" x14ac:dyDescent="0.2">
      <c r="B3" s="70" t="s">
        <v>40</v>
      </c>
      <c r="C3" s="71" t="s">
        <v>41</v>
      </c>
      <c r="D3" s="72" t="s">
        <v>2</v>
      </c>
      <c r="E3" s="50"/>
      <c r="F3" s="262" t="s">
        <v>3</v>
      </c>
      <c r="G3" s="262"/>
      <c r="H3" s="262"/>
      <c r="I3" s="262"/>
      <c r="J3" s="50"/>
      <c r="K3" s="262" t="s">
        <v>4</v>
      </c>
      <c r="L3" s="262"/>
      <c r="M3" s="262"/>
      <c r="N3" s="262"/>
      <c r="O3" s="50"/>
      <c r="P3" s="262" t="s">
        <v>5</v>
      </c>
      <c r="Q3" s="262"/>
      <c r="R3" s="262"/>
      <c r="S3" s="262"/>
    </row>
    <row r="4" spans="2:19" x14ac:dyDescent="0.2">
      <c r="B4" s="51"/>
      <c r="C4" s="52"/>
      <c r="D4" s="53" t="s">
        <v>112</v>
      </c>
      <c r="E4" s="54"/>
      <c r="F4" s="55" t="s">
        <v>154</v>
      </c>
      <c r="G4" s="55" t="s">
        <v>155</v>
      </c>
      <c r="H4" s="55" t="s">
        <v>156</v>
      </c>
      <c r="I4" s="55" t="s">
        <v>157</v>
      </c>
      <c r="J4" s="55"/>
      <c r="K4" s="55" t="s">
        <v>154</v>
      </c>
      <c r="L4" s="55" t="s">
        <v>155</v>
      </c>
      <c r="M4" s="55" t="s">
        <v>156</v>
      </c>
      <c r="N4" s="55" t="s">
        <v>157</v>
      </c>
      <c r="O4" s="55"/>
      <c r="P4" s="55" t="s">
        <v>154</v>
      </c>
      <c r="Q4" s="55" t="s">
        <v>155</v>
      </c>
      <c r="R4" s="55" t="s">
        <v>156</v>
      </c>
      <c r="S4" s="55" t="s">
        <v>157</v>
      </c>
    </row>
    <row r="5" spans="2:19" x14ac:dyDescent="0.2">
      <c r="B5" s="61" t="s">
        <v>290</v>
      </c>
      <c r="C5" s="20"/>
      <c r="D5" s="20"/>
      <c r="E5" s="20"/>
      <c r="F5" s="20"/>
      <c r="G5" s="21"/>
      <c r="H5" s="21"/>
      <c r="I5" s="21"/>
      <c r="J5" s="20"/>
      <c r="K5" s="21"/>
      <c r="L5" s="20"/>
      <c r="M5" s="20"/>
      <c r="N5" s="20"/>
      <c r="O5" s="20"/>
      <c r="P5" s="20"/>
      <c r="Q5" s="20"/>
      <c r="R5" s="20"/>
      <c r="S5" s="20"/>
    </row>
    <row r="6" spans="2:19" x14ac:dyDescent="0.2">
      <c r="B6" s="22" t="s">
        <v>294</v>
      </c>
      <c r="C6" s="20" t="s">
        <v>291</v>
      </c>
      <c r="D6" s="66">
        <v>5608</v>
      </c>
      <c r="E6" s="56"/>
      <c r="F6" s="57" t="s">
        <v>158</v>
      </c>
      <c r="G6" s="57" t="s">
        <v>159</v>
      </c>
      <c r="H6" s="57" t="s">
        <v>160</v>
      </c>
      <c r="I6" s="57" t="s">
        <v>161</v>
      </c>
      <c r="J6" s="56"/>
      <c r="K6" s="57" t="s">
        <v>162</v>
      </c>
      <c r="L6" s="57" t="s">
        <v>163</v>
      </c>
      <c r="M6" s="57" t="s">
        <v>164</v>
      </c>
      <c r="N6" s="57" t="s">
        <v>165</v>
      </c>
      <c r="O6" s="56"/>
      <c r="P6" s="57" t="s">
        <v>166</v>
      </c>
      <c r="Q6" s="57" t="s">
        <v>167</v>
      </c>
      <c r="R6" s="57" t="s">
        <v>168</v>
      </c>
      <c r="S6" s="57" t="s">
        <v>169</v>
      </c>
    </row>
    <row r="7" spans="2:19" x14ac:dyDescent="0.2">
      <c r="B7" s="22" t="s">
        <v>294</v>
      </c>
      <c r="C7" s="20" t="s">
        <v>291</v>
      </c>
      <c r="D7" s="66">
        <v>1539</v>
      </c>
      <c r="E7" s="56"/>
      <c r="F7" s="57" t="s">
        <v>160</v>
      </c>
      <c r="G7" s="57" t="s">
        <v>170</v>
      </c>
      <c r="H7" s="57" t="s">
        <v>171</v>
      </c>
      <c r="I7" s="57" t="s">
        <v>172</v>
      </c>
      <c r="J7" s="56"/>
      <c r="K7" s="57" t="s">
        <v>173</v>
      </c>
      <c r="L7" s="57" t="s">
        <v>174</v>
      </c>
      <c r="M7" s="57" t="s">
        <v>175</v>
      </c>
      <c r="N7" s="57" t="s">
        <v>176</v>
      </c>
      <c r="O7" s="56"/>
      <c r="P7" s="57" t="s">
        <v>177</v>
      </c>
      <c r="Q7" s="57" t="s">
        <v>178</v>
      </c>
      <c r="R7" s="57" t="s">
        <v>179</v>
      </c>
      <c r="S7" s="57" t="s">
        <v>175</v>
      </c>
    </row>
    <row r="8" spans="2:19" x14ac:dyDescent="0.2">
      <c r="B8" s="22" t="s">
        <v>294</v>
      </c>
      <c r="C8" s="20" t="s">
        <v>291</v>
      </c>
      <c r="D8" s="66">
        <v>201249</v>
      </c>
      <c r="E8" s="56"/>
      <c r="F8" s="57" t="s">
        <v>180</v>
      </c>
      <c r="G8" s="57" t="s">
        <v>181</v>
      </c>
      <c r="H8" s="57" t="s">
        <v>182</v>
      </c>
      <c r="I8" s="57" t="s">
        <v>183</v>
      </c>
      <c r="J8" s="56"/>
      <c r="K8" s="57" t="s">
        <v>184</v>
      </c>
      <c r="L8" s="57" t="s">
        <v>185</v>
      </c>
      <c r="M8" s="57" t="s">
        <v>186</v>
      </c>
      <c r="N8" s="57" t="s">
        <v>178</v>
      </c>
      <c r="O8" s="56"/>
      <c r="P8" s="57" t="s">
        <v>187</v>
      </c>
      <c r="Q8" s="57" t="s">
        <v>188</v>
      </c>
      <c r="R8" s="57" t="s">
        <v>189</v>
      </c>
      <c r="S8" s="57" t="s">
        <v>190</v>
      </c>
    </row>
    <row r="9" spans="2:19" x14ac:dyDescent="0.2">
      <c r="B9" s="22" t="s">
        <v>294</v>
      </c>
      <c r="C9" s="20" t="s">
        <v>292</v>
      </c>
      <c r="D9" s="66">
        <v>5036</v>
      </c>
      <c r="E9" s="56"/>
      <c r="F9" s="57" t="s">
        <v>159</v>
      </c>
      <c r="G9" s="57" t="s">
        <v>160</v>
      </c>
      <c r="H9" s="57" t="s">
        <v>170</v>
      </c>
      <c r="I9" s="57" t="s">
        <v>161</v>
      </c>
      <c r="J9" s="56"/>
      <c r="K9" s="57" t="s">
        <v>191</v>
      </c>
      <c r="L9" s="57" t="s">
        <v>164</v>
      </c>
      <c r="M9" s="57" t="s">
        <v>192</v>
      </c>
      <c r="N9" s="57" t="s">
        <v>175</v>
      </c>
      <c r="O9" s="56"/>
      <c r="P9" s="57" t="s">
        <v>193</v>
      </c>
      <c r="Q9" s="57" t="s">
        <v>194</v>
      </c>
      <c r="R9" s="57" t="s">
        <v>195</v>
      </c>
      <c r="S9" s="57" t="s">
        <v>165</v>
      </c>
    </row>
    <row r="10" spans="2:19" x14ac:dyDescent="0.2">
      <c r="B10" s="22" t="s">
        <v>294</v>
      </c>
      <c r="C10" s="20" t="s">
        <v>291</v>
      </c>
      <c r="D10" s="66">
        <v>3984</v>
      </c>
      <c r="E10" s="56"/>
      <c r="F10" s="57" t="s">
        <v>170</v>
      </c>
      <c r="G10" s="57" t="s">
        <v>161</v>
      </c>
      <c r="H10" s="57" t="s">
        <v>161</v>
      </c>
      <c r="I10" s="57" t="s">
        <v>171</v>
      </c>
      <c r="J10" s="56"/>
      <c r="K10" s="57" t="s">
        <v>179</v>
      </c>
      <c r="L10" s="57" t="s">
        <v>196</v>
      </c>
      <c r="M10" s="57" t="s">
        <v>197</v>
      </c>
      <c r="N10" s="57" t="s">
        <v>198</v>
      </c>
      <c r="O10" s="56"/>
      <c r="P10" s="57" t="s">
        <v>195</v>
      </c>
      <c r="Q10" s="57" t="s">
        <v>174</v>
      </c>
      <c r="R10" s="57" t="s">
        <v>199</v>
      </c>
      <c r="S10" s="57" t="s">
        <v>200</v>
      </c>
    </row>
    <row r="11" spans="2:19" x14ac:dyDescent="0.2">
      <c r="B11" s="22" t="s">
        <v>294</v>
      </c>
      <c r="C11" s="20" t="s">
        <v>293</v>
      </c>
      <c r="D11" s="66">
        <v>24375</v>
      </c>
      <c r="E11" s="56"/>
      <c r="F11" s="57" t="s">
        <v>201</v>
      </c>
      <c r="G11" s="57" t="s">
        <v>202</v>
      </c>
      <c r="H11" s="57" t="s">
        <v>202</v>
      </c>
      <c r="I11" s="57" t="s">
        <v>202</v>
      </c>
      <c r="J11" s="56"/>
      <c r="K11" s="57" t="s">
        <v>165</v>
      </c>
      <c r="L11" s="57" t="s">
        <v>199</v>
      </c>
      <c r="M11" s="57" t="s">
        <v>203</v>
      </c>
      <c r="N11" s="57" t="s">
        <v>204</v>
      </c>
      <c r="O11" s="56"/>
      <c r="P11" s="57" t="s">
        <v>205</v>
      </c>
      <c r="Q11" s="57" t="s">
        <v>168</v>
      </c>
      <c r="R11" s="57" t="s">
        <v>178</v>
      </c>
      <c r="S11" s="57" t="s">
        <v>164</v>
      </c>
    </row>
    <row r="12" spans="2:19" x14ac:dyDescent="0.2">
      <c r="B12" s="22" t="s">
        <v>294</v>
      </c>
      <c r="C12" s="20" t="s">
        <v>291</v>
      </c>
      <c r="D12" s="66">
        <v>6548</v>
      </c>
      <c r="E12" s="56"/>
      <c r="F12" s="57" t="s">
        <v>206</v>
      </c>
      <c r="G12" s="57" t="s">
        <v>206</v>
      </c>
      <c r="H12" s="57" t="s">
        <v>159</v>
      </c>
      <c r="I12" s="57" t="s">
        <v>207</v>
      </c>
      <c r="J12" s="56"/>
      <c r="K12" s="57" t="s">
        <v>208</v>
      </c>
      <c r="L12" s="57" t="s">
        <v>209</v>
      </c>
      <c r="M12" s="57" t="s">
        <v>195</v>
      </c>
      <c r="N12" s="57" t="s">
        <v>210</v>
      </c>
      <c r="O12" s="56"/>
      <c r="P12" s="57" t="s">
        <v>188</v>
      </c>
      <c r="Q12" s="57" t="s">
        <v>211</v>
      </c>
      <c r="R12" s="57" t="s">
        <v>167</v>
      </c>
      <c r="S12" s="57" t="s">
        <v>212</v>
      </c>
    </row>
    <row r="13" spans="2:19" x14ac:dyDescent="0.2">
      <c r="B13" s="22" t="s">
        <v>294</v>
      </c>
      <c r="C13" s="20" t="s">
        <v>291</v>
      </c>
      <c r="D13" s="66">
        <v>2886</v>
      </c>
      <c r="E13" s="56"/>
      <c r="F13" s="57" t="s">
        <v>159</v>
      </c>
      <c r="G13" s="57" t="s">
        <v>207</v>
      </c>
      <c r="H13" s="57" t="s">
        <v>160</v>
      </c>
      <c r="I13" s="57" t="s">
        <v>160</v>
      </c>
      <c r="J13" s="56"/>
      <c r="K13" s="57" t="s">
        <v>213</v>
      </c>
      <c r="L13" s="57" t="s">
        <v>214</v>
      </c>
      <c r="M13" s="57" t="s">
        <v>215</v>
      </c>
      <c r="N13" s="57" t="s">
        <v>216</v>
      </c>
      <c r="O13" s="56"/>
      <c r="P13" s="57" t="s">
        <v>187</v>
      </c>
      <c r="Q13" s="57" t="s">
        <v>217</v>
      </c>
      <c r="R13" s="57" t="s">
        <v>194</v>
      </c>
      <c r="S13" s="57" t="s">
        <v>218</v>
      </c>
    </row>
    <row r="14" spans="2:19" x14ac:dyDescent="0.2">
      <c r="B14" s="22" t="s">
        <v>294</v>
      </c>
      <c r="C14" s="20" t="s">
        <v>291</v>
      </c>
      <c r="D14" s="66">
        <v>4454</v>
      </c>
      <c r="E14" s="56"/>
      <c r="F14" s="57" t="s">
        <v>206</v>
      </c>
      <c r="G14" s="57" t="s">
        <v>160</v>
      </c>
      <c r="H14" s="57" t="s">
        <v>161</v>
      </c>
      <c r="I14" s="57" t="s">
        <v>161</v>
      </c>
      <c r="J14" s="56"/>
      <c r="K14" s="57" t="s">
        <v>219</v>
      </c>
      <c r="L14" s="57" t="s">
        <v>186</v>
      </c>
      <c r="M14" s="57" t="s">
        <v>220</v>
      </c>
      <c r="N14" s="57" t="s">
        <v>210</v>
      </c>
      <c r="O14" s="56"/>
      <c r="P14" s="57" t="s">
        <v>221</v>
      </c>
      <c r="Q14" s="57" t="s">
        <v>222</v>
      </c>
      <c r="R14" s="57" t="s">
        <v>218</v>
      </c>
      <c r="S14" s="57" t="s">
        <v>220</v>
      </c>
    </row>
    <row r="15" spans="2:19" x14ac:dyDescent="0.2">
      <c r="B15" s="22" t="s">
        <v>294</v>
      </c>
      <c r="C15" s="20" t="s">
        <v>291</v>
      </c>
      <c r="D15" s="66">
        <v>2208</v>
      </c>
      <c r="E15" s="56"/>
      <c r="F15" s="57" t="s">
        <v>223</v>
      </c>
      <c r="G15" s="57" t="s">
        <v>224</v>
      </c>
      <c r="H15" s="57" t="s">
        <v>224</v>
      </c>
      <c r="I15" s="57" t="s">
        <v>225</v>
      </c>
      <c r="J15" s="56"/>
      <c r="K15" s="57" t="s">
        <v>19</v>
      </c>
      <c r="L15" s="57" t="s">
        <v>174</v>
      </c>
      <c r="M15" s="57" t="s">
        <v>226</v>
      </c>
      <c r="N15" s="57" t="s">
        <v>204</v>
      </c>
      <c r="O15" s="56"/>
      <c r="P15" s="57" t="s">
        <v>19</v>
      </c>
      <c r="Q15" s="57" t="s">
        <v>220</v>
      </c>
      <c r="R15" s="57" t="s">
        <v>164</v>
      </c>
      <c r="S15" s="57" t="s">
        <v>192</v>
      </c>
    </row>
    <row r="16" spans="2:19" x14ac:dyDescent="0.2">
      <c r="B16" s="22" t="s">
        <v>294</v>
      </c>
      <c r="C16" s="20" t="s">
        <v>293</v>
      </c>
      <c r="D16" s="66">
        <v>11769</v>
      </c>
      <c r="E16" s="56"/>
      <c r="F16" s="57" t="s">
        <v>170</v>
      </c>
      <c r="G16" s="57" t="s">
        <v>161</v>
      </c>
      <c r="H16" s="57" t="s">
        <v>224</v>
      </c>
      <c r="I16" s="57" t="s">
        <v>225</v>
      </c>
      <c r="J16" s="56"/>
      <c r="K16" s="57" t="s">
        <v>189</v>
      </c>
      <c r="L16" s="57" t="s">
        <v>227</v>
      </c>
      <c r="M16" s="57" t="s">
        <v>228</v>
      </c>
      <c r="N16" s="57" t="s">
        <v>229</v>
      </c>
      <c r="O16" s="56"/>
      <c r="P16" s="57" t="s">
        <v>230</v>
      </c>
      <c r="Q16" s="57" t="s">
        <v>213</v>
      </c>
      <c r="R16" s="57" t="s">
        <v>231</v>
      </c>
      <c r="S16" s="57" t="s">
        <v>232</v>
      </c>
    </row>
    <row r="17" spans="2:19" x14ac:dyDescent="0.2">
      <c r="B17" s="58" t="s">
        <v>42</v>
      </c>
      <c r="C17" s="54"/>
      <c r="D17" s="73">
        <f>AVERAGE(D6:D16)</f>
        <v>24514.18181818182</v>
      </c>
      <c r="E17" s="59"/>
      <c r="F17" s="60" t="s">
        <v>206</v>
      </c>
      <c r="G17" s="60" t="s">
        <v>207</v>
      </c>
      <c r="H17" s="60" t="s">
        <v>170</v>
      </c>
      <c r="I17" s="60" t="s">
        <v>161</v>
      </c>
      <c r="J17" s="59"/>
      <c r="K17" s="60" t="s">
        <v>208</v>
      </c>
      <c r="L17" s="60" t="s">
        <v>233</v>
      </c>
      <c r="M17" s="60" t="s">
        <v>174</v>
      </c>
      <c r="N17" s="60" t="s">
        <v>179</v>
      </c>
      <c r="O17" s="59"/>
      <c r="P17" s="60" t="s">
        <v>234</v>
      </c>
      <c r="Q17" s="60" t="s">
        <v>205</v>
      </c>
      <c r="R17" s="60" t="s">
        <v>215</v>
      </c>
      <c r="S17" s="60" t="s">
        <v>231</v>
      </c>
    </row>
    <row r="18" spans="2:19" x14ac:dyDescent="0.2">
      <c r="B18" s="58" t="s">
        <v>43</v>
      </c>
      <c r="C18" s="54"/>
      <c r="D18" s="73">
        <f>MEDIAN(D6:D16)</f>
        <v>5036</v>
      </c>
      <c r="E18" s="59"/>
      <c r="F18" s="60" t="s">
        <v>159</v>
      </c>
      <c r="G18" s="60" t="s">
        <v>160</v>
      </c>
      <c r="H18" s="60" t="s">
        <v>161</v>
      </c>
      <c r="I18" s="60" t="s">
        <v>161</v>
      </c>
      <c r="J18" s="59"/>
      <c r="K18" s="60" t="s">
        <v>162</v>
      </c>
      <c r="L18" s="60" t="s">
        <v>227</v>
      </c>
      <c r="M18" s="60" t="s">
        <v>226</v>
      </c>
      <c r="N18" s="60" t="s">
        <v>204</v>
      </c>
      <c r="O18" s="59"/>
      <c r="P18" s="60" t="s">
        <v>235</v>
      </c>
      <c r="Q18" s="60" t="s">
        <v>167</v>
      </c>
      <c r="R18" s="60" t="s">
        <v>178</v>
      </c>
      <c r="S18" s="60" t="s">
        <v>169</v>
      </c>
    </row>
    <row r="19" spans="2:19" x14ac:dyDescent="0.2">
      <c r="B19" s="61"/>
      <c r="C19" s="62"/>
      <c r="D19" s="63"/>
      <c r="E19" s="63"/>
      <c r="F19" s="64"/>
      <c r="G19" s="64"/>
      <c r="H19" s="64"/>
      <c r="I19" s="64"/>
      <c r="J19" s="63"/>
      <c r="K19" s="64"/>
      <c r="L19" s="64"/>
      <c r="M19" s="64"/>
      <c r="N19" s="64"/>
      <c r="O19" s="63"/>
      <c r="P19" s="64"/>
      <c r="Q19" s="64"/>
      <c r="R19" s="64"/>
      <c r="S19" s="64"/>
    </row>
    <row r="20" spans="2:19" x14ac:dyDescent="0.2">
      <c r="B20" s="61" t="s">
        <v>44</v>
      </c>
      <c r="C20" s="20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</row>
    <row r="21" spans="2:19" x14ac:dyDescent="0.2">
      <c r="B21" s="22" t="s">
        <v>294</v>
      </c>
      <c r="C21" s="20" t="s">
        <v>45</v>
      </c>
      <c r="D21" s="57">
        <v>15804</v>
      </c>
      <c r="E21" s="57"/>
      <c r="F21" s="57" t="s">
        <v>161</v>
      </c>
      <c r="G21" s="57" t="s">
        <v>171</v>
      </c>
      <c r="H21" s="57" t="s">
        <v>171</v>
      </c>
      <c r="I21" s="57" t="s">
        <v>172</v>
      </c>
      <c r="J21" s="57"/>
      <c r="K21" s="57" t="s">
        <v>226</v>
      </c>
      <c r="L21" s="57" t="s">
        <v>228</v>
      </c>
      <c r="M21" s="57" t="s">
        <v>236</v>
      </c>
      <c r="N21" s="57" t="s">
        <v>176</v>
      </c>
      <c r="O21" s="57"/>
      <c r="P21" s="57" t="s">
        <v>237</v>
      </c>
      <c r="Q21" s="57" t="s">
        <v>238</v>
      </c>
      <c r="R21" s="57" t="s">
        <v>239</v>
      </c>
      <c r="S21" s="57" t="s">
        <v>240</v>
      </c>
    </row>
    <row r="22" spans="2:19" x14ac:dyDescent="0.2">
      <c r="B22" s="22" t="s">
        <v>294</v>
      </c>
      <c r="C22" s="20" t="s">
        <v>46</v>
      </c>
      <c r="D22" s="57">
        <v>11538</v>
      </c>
      <c r="E22" s="57"/>
      <c r="F22" s="57" t="s">
        <v>182</v>
      </c>
      <c r="G22" s="57" t="s">
        <v>241</v>
      </c>
      <c r="H22" s="57" t="s">
        <v>242</v>
      </c>
      <c r="I22" s="57" t="s">
        <v>243</v>
      </c>
      <c r="J22" s="57"/>
      <c r="K22" s="57" t="s">
        <v>194</v>
      </c>
      <c r="L22" s="57" t="s">
        <v>164</v>
      </c>
      <c r="M22" s="57" t="s">
        <v>244</v>
      </c>
      <c r="N22" s="57" t="s">
        <v>245</v>
      </c>
      <c r="O22" s="57"/>
      <c r="P22" s="57" t="s">
        <v>213</v>
      </c>
      <c r="Q22" s="57" t="s">
        <v>218</v>
      </c>
      <c r="R22" s="57" t="s">
        <v>246</v>
      </c>
      <c r="S22" s="57" t="s">
        <v>226</v>
      </c>
    </row>
    <row r="23" spans="2:19" x14ac:dyDescent="0.2">
      <c r="B23" s="22" t="s">
        <v>294</v>
      </c>
      <c r="C23" s="20" t="s">
        <v>47</v>
      </c>
      <c r="D23" s="57">
        <v>4463</v>
      </c>
      <c r="E23" s="57"/>
      <c r="F23" s="57" t="s">
        <v>225</v>
      </c>
      <c r="G23" s="57" t="s">
        <v>225</v>
      </c>
      <c r="H23" s="57" t="s">
        <v>225</v>
      </c>
      <c r="I23" s="57" t="s">
        <v>247</v>
      </c>
      <c r="J23" s="57"/>
      <c r="K23" s="57" t="s">
        <v>245</v>
      </c>
      <c r="L23" s="57" t="s">
        <v>196</v>
      </c>
      <c r="M23" s="57" t="s">
        <v>248</v>
      </c>
      <c r="N23" s="57" t="s">
        <v>249</v>
      </c>
      <c r="O23" s="57"/>
      <c r="P23" s="57" t="s">
        <v>194</v>
      </c>
      <c r="Q23" s="57" t="s">
        <v>233</v>
      </c>
      <c r="R23" s="57" t="s">
        <v>231</v>
      </c>
      <c r="S23" s="57" t="s">
        <v>244</v>
      </c>
    </row>
    <row r="24" spans="2:19" x14ac:dyDescent="0.2">
      <c r="B24" s="22" t="s">
        <v>294</v>
      </c>
      <c r="C24" s="20" t="s">
        <v>46</v>
      </c>
      <c r="D24" s="57">
        <v>1003</v>
      </c>
      <c r="E24" s="57"/>
      <c r="F24" s="57" t="s">
        <v>250</v>
      </c>
      <c r="G24" s="57" t="s">
        <v>250</v>
      </c>
      <c r="H24" s="57" t="s">
        <v>250</v>
      </c>
      <c r="I24" s="57" t="s">
        <v>250</v>
      </c>
      <c r="J24" s="57"/>
      <c r="K24" s="57" t="s">
        <v>251</v>
      </c>
      <c r="L24" s="57" t="s">
        <v>196</v>
      </c>
      <c r="M24" s="57" t="s">
        <v>252</v>
      </c>
      <c r="N24" s="57" t="s">
        <v>180</v>
      </c>
      <c r="O24" s="57"/>
      <c r="P24" s="57" t="s">
        <v>245</v>
      </c>
      <c r="Q24" s="57" t="s">
        <v>220</v>
      </c>
      <c r="R24" s="57" t="s">
        <v>236</v>
      </c>
      <c r="S24" s="57" t="s">
        <v>249</v>
      </c>
    </row>
    <row r="25" spans="2:19" x14ac:dyDescent="0.2">
      <c r="B25" s="22" t="s">
        <v>294</v>
      </c>
      <c r="C25" s="20" t="s">
        <v>46</v>
      </c>
      <c r="D25" s="57">
        <v>542</v>
      </c>
      <c r="E25" s="57"/>
      <c r="F25" s="57" t="s">
        <v>253</v>
      </c>
      <c r="G25" s="57" t="s">
        <v>253</v>
      </c>
      <c r="H25" s="57" t="s">
        <v>201</v>
      </c>
      <c r="I25" s="57" t="s">
        <v>201</v>
      </c>
      <c r="J25" s="57"/>
      <c r="K25" s="57" t="s">
        <v>251</v>
      </c>
      <c r="L25" s="57" t="s">
        <v>254</v>
      </c>
      <c r="M25" s="57" t="s">
        <v>255</v>
      </c>
      <c r="N25" s="57" t="s">
        <v>256</v>
      </c>
      <c r="O25" s="57"/>
      <c r="P25" s="57" t="s">
        <v>257</v>
      </c>
      <c r="Q25" s="57" t="s">
        <v>204</v>
      </c>
      <c r="R25" s="57" t="s">
        <v>197</v>
      </c>
      <c r="S25" s="57" t="s">
        <v>258</v>
      </c>
    </row>
    <row r="26" spans="2:19" x14ac:dyDescent="0.2">
      <c r="B26" s="22" t="s">
        <v>294</v>
      </c>
      <c r="C26" s="20" t="s">
        <v>46</v>
      </c>
      <c r="D26" s="57">
        <v>2569</v>
      </c>
      <c r="E26" s="57"/>
      <c r="F26" s="57" t="s">
        <v>201</v>
      </c>
      <c r="G26" s="57" t="s">
        <v>202</v>
      </c>
      <c r="H26" s="57" t="s">
        <v>202</v>
      </c>
      <c r="I26" s="57" t="s">
        <v>202</v>
      </c>
      <c r="J26" s="57"/>
      <c r="K26" s="57" t="s">
        <v>181</v>
      </c>
      <c r="L26" s="57" t="s">
        <v>259</v>
      </c>
      <c r="M26" s="57" t="s">
        <v>260</v>
      </c>
      <c r="N26" s="57" t="s">
        <v>181</v>
      </c>
      <c r="O26" s="57"/>
      <c r="P26" s="57" t="s">
        <v>251</v>
      </c>
      <c r="Q26" s="57" t="s">
        <v>204</v>
      </c>
      <c r="R26" s="57" t="s">
        <v>196</v>
      </c>
      <c r="S26" s="57" t="s">
        <v>248</v>
      </c>
    </row>
    <row r="27" spans="2:19" x14ac:dyDescent="0.2">
      <c r="B27" s="22" t="s">
        <v>294</v>
      </c>
      <c r="C27" s="20" t="s">
        <v>48</v>
      </c>
      <c r="D27" s="57">
        <v>426</v>
      </c>
      <c r="E27" s="57"/>
      <c r="F27" s="57" t="s">
        <v>250</v>
      </c>
      <c r="G27" s="57" t="s">
        <v>250</v>
      </c>
      <c r="H27" s="57" t="s">
        <v>250</v>
      </c>
      <c r="I27" s="57" t="s">
        <v>250</v>
      </c>
      <c r="J27" s="57"/>
      <c r="K27" s="57" t="s">
        <v>256</v>
      </c>
      <c r="L27" s="57" t="s">
        <v>261</v>
      </c>
      <c r="M27" s="57" t="s">
        <v>262</v>
      </c>
      <c r="N27" s="57" t="s">
        <v>263</v>
      </c>
      <c r="O27" s="57"/>
      <c r="P27" s="57" t="s">
        <v>166</v>
      </c>
      <c r="Q27" s="57" t="s">
        <v>264</v>
      </c>
      <c r="R27" s="57" t="s">
        <v>233</v>
      </c>
      <c r="S27" s="57" t="s">
        <v>175</v>
      </c>
    </row>
    <row r="28" spans="2:19" x14ac:dyDescent="0.2">
      <c r="B28" s="22" t="s">
        <v>294</v>
      </c>
      <c r="C28" s="20" t="s">
        <v>49</v>
      </c>
      <c r="D28" s="57">
        <v>148108</v>
      </c>
      <c r="E28" s="57"/>
      <c r="F28" s="57" t="s">
        <v>241</v>
      </c>
      <c r="G28" s="57" t="s">
        <v>242</v>
      </c>
      <c r="H28" s="57" t="s">
        <v>223</v>
      </c>
      <c r="I28" s="57" t="s">
        <v>206</v>
      </c>
      <c r="J28" s="57"/>
      <c r="K28" s="57" t="s">
        <v>208</v>
      </c>
      <c r="L28" s="57" t="s">
        <v>220</v>
      </c>
      <c r="M28" s="57" t="s">
        <v>240</v>
      </c>
      <c r="N28" s="57" t="s">
        <v>203</v>
      </c>
      <c r="O28" s="57"/>
      <c r="P28" s="57" t="s">
        <v>265</v>
      </c>
      <c r="Q28" s="57" t="s">
        <v>189</v>
      </c>
      <c r="R28" s="57" t="s">
        <v>218</v>
      </c>
      <c r="S28" s="57" t="s">
        <v>216</v>
      </c>
    </row>
    <row r="29" spans="2:19" x14ac:dyDescent="0.2">
      <c r="B29" s="22" t="s">
        <v>294</v>
      </c>
      <c r="C29" s="20" t="s">
        <v>48</v>
      </c>
      <c r="D29" s="57">
        <v>2981</v>
      </c>
      <c r="E29" s="57"/>
      <c r="F29" s="57" t="s">
        <v>247</v>
      </c>
      <c r="G29" s="57" t="s">
        <v>201</v>
      </c>
      <c r="H29" s="57" t="s">
        <v>201</v>
      </c>
      <c r="I29" s="57" t="s">
        <v>201</v>
      </c>
      <c r="J29" s="57"/>
      <c r="K29" s="57" t="s">
        <v>164</v>
      </c>
      <c r="L29" s="57" t="s">
        <v>196</v>
      </c>
      <c r="M29" s="57" t="s">
        <v>197</v>
      </c>
      <c r="N29" s="57" t="s">
        <v>198</v>
      </c>
      <c r="O29" s="57"/>
      <c r="P29" s="57" t="s">
        <v>219</v>
      </c>
      <c r="Q29" s="57" t="s">
        <v>220</v>
      </c>
      <c r="R29" s="57" t="s">
        <v>216</v>
      </c>
      <c r="S29" s="57" t="s">
        <v>179</v>
      </c>
    </row>
    <row r="30" spans="2:19" x14ac:dyDescent="0.2">
      <c r="B30" s="22" t="s">
        <v>294</v>
      </c>
      <c r="C30" s="20" t="s">
        <v>48</v>
      </c>
      <c r="D30" s="57">
        <v>34136</v>
      </c>
      <c r="E30" s="57"/>
      <c r="F30" s="57" t="s">
        <v>171</v>
      </c>
      <c r="G30" s="57" t="s">
        <v>171</v>
      </c>
      <c r="H30" s="57" t="s">
        <v>171</v>
      </c>
      <c r="I30" s="57" t="s">
        <v>171</v>
      </c>
      <c r="J30" s="57"/>
      <c r="K30" s="57" t="s">
        <v>197</v>
      </c>
      <c r="L30" s="57" t="s">
        <v>266</v>
      </c>
      <c r="M30" s="57" t="s">
        <v>266</v>
      </c>
      <c r="N30" s="57" t="s">
        <v>258</v>
      </c>
      <c r="O30" s="57"/>
      <c r="P30" s="57" t="s">
        <v>245</v>
      </c>
      <c r="Q30" s="57" t="s">
        <v>267</v>
      </c>
      <c r="R30" s="57" t="s">
        <v>204</v>
      </c>
      <c r="S30" s="57" t="s">
        <v>268</v>
      </c>
    </row>
    <row r="31" spans="2:19" x14ac:dyDescent="0.2">
      <c r="B31" s="22" t="s">
        <v>294</v>
      </c>
      <c r="C31" s="20" t="s">
        <v>46</v>
      </c>
      <c r="D31" s="57">
        <v>610</v>
      </c>
      <c r="E31" s="57"/>
      <c r="F31" s="57" t="s">
        <v>224</v>
      </c>
      <c r="G31" s="57" t="s">
        <v>225</v>
      </c>
      <c r="H31" s="65"/>
      <c r="I31" s="65"/>
      <c r="J31" s="57"/>
      <c r="K31" s="57" t="s">
        <v>268</v>
      </c>
      <c r="L31" s="57" t="s">
        <v>258</v>
      </c>
      <c r="M31" s="57" t="s">
        <v>269</v>
      </c>
      <c r="N31" s="65"/>
      <c r="O31" s="57"/>
      <c r="P31" s="57" t="s">
        <v>270</v>
      </c>
      <c r="Q31" s="57" t="s">
        <v>215</v>
      </c>
      <c r="R31" s="57" t="s">
        <v>271</v>
      </c>
      <c r="S31" s="65"/>
    </row>
    <row r="32" spans="2:19" x14ac:dyDescent="0.2">
      <c r="B32" s="22" t="s">
        <v>294</v>
      </c>
      <c r="C32" s="20" t="s">
        <v>50</v>
      </c>
      <c r="D32" s="57">
        <v>1967</v>
      </c>
      <c r="E32" s="57"/>
      <c r="F32" s="57" t="s">
        <v>272</v>
      </c>
      <c r="G32" s="57" t="s">
        <v>242</v>
      </c>
      <c r="H32" s="57" t="s">
        <v>206</v>
      </c>
      <c r="I32" s="57" t="s">
        <v>206</v>
      </c>
      <c r="J32" s="57"/>
      <c r="K32" s="57" t="s">
        <v>234</v>
      </c>
      <c r="L32" s="57" t="s">
        <v>233</v>
      </c>
      <c r="M32" s="57" t="s">
        <v>199</v>
      </c>
      <c r="N32" s="57" t="s">
        <v>232</v>
      </c>
      <c r="O32" s="57"/>
      <c r="P32" s="57" t="s">
        <v>273</v>
      </c>
      <c r="Q32" s="57" t="s">
        <v>185</v>
      </c>
      <c r="R32" s="57" t="s">
        <v>195</v>
      </c>
      <c r="S32" s="57" t="s">
        <v>169</v>
      </c>
    </row>
    <row r="33" spans="2:19" x14ac:dyDescent="0.2">
      <c r="B33" s="22" t="s">
        <v>294</v>
      </c>
      <c r="C33" s="20" t="s">
        <v>48</v>
      </c>
      <c r="D33" s="57">
        <v>1871</v>
      </c>
      <c r="E33" s="57"/>
      <c r="F33" s="57" t="s">
        <v>159</v>
      </c>
      <c r="G33" s="57" t="s">
        <v>207</v>
      </c>
      <c r="H33" s="57" t="s">
        <v>160</v>
      </c>
      <c r="I33" s="57" t="s">
        <v>170</v>
      </c>
      <c r="J33" s="57"/>
      <c r="K33" s="57" t="s">
        <v>173</v>
      </c>
      <c r="L33" s="57" t="s">
        <v>179</v>
      </c>
      <c r="M33" s="57" t="s">
        <v>204</v>
      </c>
      <c r="N33" s="57" t="s">
        <v>274</v>
      </c>
      <c r="O33" s="57"/>
      <c r="P33" s="57" t="s">
        <v>195</v>
      </c>
      <c r="Q33" s="57" t="s">
        <v>239</v>
      </c>
      <c r="R33" s="57" t="s">
        <v>173</v>
      </c>
      <c r="S33" s="57" t="s">
        <v>179</v>
      </c>
    </row>
    <row r="34" spans="2:19" x14ac:dyDescent="0.2">
      <c r="B34" s="22" t="s">
        <v>294</v>
      </c>
      <c r="C34" s="20" t="s">
        <v>46</v>
      </c>
      <c r="D34" s="57">
        <v>235</v>
      </c>
      <c r="E34" s="57"/>
      <c r="F34" s="57" t="s">
        <v>202</v>
      </c>
      <c r="G34" s="57" t="s">
        <v>202</v>
      </c>
      <c r="H34" s="57" t="s">
        <v>202</v>
      </c>
      <c r="I34" s="57" t="s">
        <v>202</v>
      </c>
      <c r="J34" s="57"/>
      <c r="K34" s="57" t="s">
        <v>197</v>
      </c>
      <c r="L34" s="57" t="s">
        <v>275</v>
      </c>
      <c r="M34" s="57" t="s">
        <v>180</v>
      </c>
      <c r="N34" s="57" t="s">
        <v>99</v>
      </c>
      <c r="O34" s="57"/>
      <c r="P34" s="57" t="s">
        <v>222</v>
      </c>
      <c r="Q34" s="57" t="s">
        <v>276</v>
      </c>
      <c r="R34" s="57" t="s">
        <v>268</v>
      </c>
      <c r="S34" s="57" t="s">
        <v>277</v>
      </c>
    </row>
    <row r="35" spans="2:19" x14ac:dyDescent="0.2">
      <c r="B35" s="58" t="s">
        <v>42</v>
      </c>
      <c r="C35" s="54"/>
      <c r="D35" s="73">
        <f>AVERAGE(D21:D34)</f>
        <v>16160.928571428571</v>
      </c>
      <c r="E35" s="59"/>
      <c r="F35" s="60" t="s">
        <v>161</v>
      </c>
      <c r="G35" s="60" t="s">
        <v>171</v>
      </c>
      <c r="H35" s="60" t="s">
        <v>172</v>
      </c>
      <c r="I35" s="60" t="s">
        <v>224</v>
      </c>
      <c r="J35" s="59"/>
      <c r="K35" s="60" t="s">
        <v>232</v>
      </c>
      <c r="L35" s="60" t="s">
        <v>268</v>
      </c>
      <c r="M35" s="60" t="s">
        <v>266</v>
      </c>
      <c r="N35" s="60" t="s">
        <v>277</v>
      </c>
      <c r="O35" s="59"/>
      <c r="P35" s="60" t="s">
        <v>278</v>
      </c>
      <c r="Q35" s="60" t="s">
        <v>163</v>
      </c>
      <c r="R35" s="60" t="s">
        <v>240</v>
      </c>
      <c r="S35" s="60" t="s">
        <v>257</v>
      </c>
    </row>
    <row r="36" spans="2:19" x14ac:dyDescent="0.2">
      <c r="B36" s="58" t="s">
        <v>43</v>
      </c>
      <c r="C36" s="54"/>
      <c r="D36" s="73">
        <f>MEDIAN(D21:D34)</f>
        <v>2268</v>
      </c>
      <c r="E36" s="59"/>
      <c r="F36" s="60" t="s">
        <v>224</v>
      </c>
      <c r="G36" s="60" t="s">
        <v>225</v>
      </c>
      <c r="H36" s="60" t="s">
        <v>225</v>
      </c>
      <c r="I36" s="60" t="s">
        <v>247</v>
      </c>
      <c r="J36" s="59"/>
      <c r="K36" s="60" t="s">
        <v>204</v>
      </c>
      <c r="L36" s="60" t="s">
        <v>196</v>
      </c>
      <c r="M36" s="60" t="s">
        <v>266</v>
      </c>
      <c r="N36" s="60" t="s">
        <v>258</v>
      </c>
      <c r="O36" s="59"/>
      <c r="P36" s="60" t="s">
        <v>189</v>
      </c>
      <c r="Q36" s="60" t="s">
        <v>178</v>
      </c>
      <c r="R36" s="60" t="s">
        <v>210</v>
      </c>
      <c r="S36" s="60" t="s">
        <v>179</v>
      </c>
    </row>
    <row r="37" spans="2:19" x14ac:dyDescent="0.2">
      <c r="B37" s="61"/>
      <c r="C37" s="62"/>
      <c r="D37" s="63"/>
      <c r="E37" s="63"/>
      <c r="F37" s="64"/>
      <c r="G37" s="64"/>
      <c r="H37" s="64"/>
      <c r="I37" s="64"/>
      <c r="J37" s="63"/>
      <c r="K37" s="64"/>
      <c r="L37" s="64"/>
      <c r="M37" s="64"/>
      <c r="N37" s="64"/>
      <c r="O37" s="63"/>
      <c r="P37" s="64"/>
      <c r="Q37" s="64"/>
      <c r="R37" s="64"/>
      <c r="S37" s="64"/>
    </row>
    <row r="38" spans="2:19" x14ac:dyDescent="0.2">
      <c r="B38" s="61" t="s">
        <v>51</v>
      </c>
      <c r="C38" s="20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</row>
    <row r="39" spans="2:19" x14ac:dyDescent="0.2">
      <c r="B39" s="22" t="s">
        <v>294</v>
      </c>
      <c r="C39" s="20" t="s">
        <v>52</v>
      </c>
      <c r="D39" s="66">
        <v>30269</v>
      </c>
      <c r="E39" s="56"/>
      <c r="F39" s="57" t="s">
        <v>223</v>
      </c>
      <c r="G39" s="57" t="s">
        <v>206</v>
      </c>
      <c r="H39" s="57" t="s">
        <v>207</v>
      </c>
      <c r="I39" s="57" t="s">
        <v>160</v>
      </c>
      <c r="J39" s="56"/>
      <c r="K39" s="57" t="s">
        <v>165</v>
      </c>
      <c r="L39" s="57" t="s">
        <v>204</v>
      </c>
      <c r="M39" s="57" t="s">
        <v>275</v>
      </c>
      <c r="N39" s="65"/>
      <c r="O39" s="56"/>
      <c r="P39" s="57" t="s">
        <v>279</v>
      </c>
      <c r="Q39" s="57" t="s">
        <v>174</v>
      </c>
      <c r="R39" s="57" t="s">
        <v>232</v>
      </c>
      <c r="S39" s="57" t="s">
        <v>267</v>
      </c>
    </row>
    <row r="40" spans="2:19" x14ac:dyDescent="0.2">
      <c r="B40" s="22" t="s">
        <v>294</v>
      </c>
      <c r="C40" s="20" t="s">
        <v>52</v>
      </c>
      <c r="D40" s="66">
        <v>33305</v>
      </c>
      <c r="E40" s="56"/>
      <c r="F40" s="57" t="s">
        <v>171</v>
      </c>
      <c r="G40" s="57" t="s">
        <v>172</v>
      </c>
      <c r="H40" s="57" t="s">
        <v>172</v>
      </c>
      <c r="I40" s="57" t="s">
        <v>224</v>
      </c>
      <c r="J40" s="56"/>
      <c r="K40" s="57" t="s">
        <v>268</v>
      </c>
      <c r="L40" s="57" t="s">
        <v>245</v>
      </c>
      <c r="M40" s="57" t="s">
        <v>245</v>
      </c>
      <c r="N40" s="57" t="s">
        <v>268</v>
      </c>
      <c r="O40" s="56"/>
      <c r="P40" s="57" t="s">
        <v>199</v>
      </c>
      <c r="Q40" s="57" t="s">
        <v>240</v>
      </c>
      <c r="R40" s="57" t="s">
        <v>192</v>
      </c>
      <c r="S40" s="57" t="s">
        <v>203</v>
      </c>
    </row>
    <row r="41" spans="2:19" x14ac:dyDescent="0.2">
      <c r="B41" s="22" t="s">
        <v>294</v>
      </c>
      <c r="C41" s="20" t="s">
        <v>52</v>
      </c>
      <c r="D41" s="66">
        <v>6125</v>
      </c>
      <c r="E41" s="56"/>
      <c r="F41" s="57" t="s">
        <v>280</v>
      </c>
      <c r="G41" s="57" t="s">
        <v>281</v>
      </c>
      <c r="H41" s="57" t="s">
        <v>243</v>
      </c>
      <c r="I41" s="65"/>
      <c r="J41" s="56"/>
      <c r="K41" s="57" t="s">
        <v>185</v>
      </c>
      <c r="L41" s="57" t="s">
        <v>233</v>
      </c>
      <c r="M41" s="57" t="s">
        <v>220</v>
      </c>
      <c r="N41" s="65"/>
      <c r="O41" s="56"/>
      <c r="P41" s="57" t="s">
        <v>282</v>
      </c>
      <c r="Q41" s="57" t="s">
        <v>162</v>
      </c>
      <c r="R41" s="57" t="s">
        <v>190</v>
      </c>
      <c r="S41" s="65"/>
    </row>
    <row r="42" spans="2:19" x14ac:dyDescent="0.2">
      <c r="B42" s="22" t="s">
        <v>294</v>
      </c>
      <c r="C42" s="20" t="s">
        <v>52</v>
      </c>
      <c r="D42" s="66">
        <v>1687</v>
      </c>
      <c r="E42" s="56"/>
      <c r="F42" s="65"/>
      <c r="G42" s="65"/>
      <c r="H42" s="65"/>
      <c r="I42" s="57" t="s">
        <v>283</v>
      </c>
      <c r="J42" s="56"/>
      <c r="K42" s="57" t="s">
        <v>243</v>
      </c>
      <c r="L42" s="57" t="s">
        <v>272</v>
      </c>
      <c r="M42" s="57" t="s">
        <v>242</v>
      </c>
      <c r="N42" s="65"/>
      <c r="O42" s="56"/>
      <c r="P42" s="57" t="s">
        <v>182</v>
      </c>
      <c r="Q42" s="57" t="s">
        <v>244</v>
      </c>
      <c r="R42" s="57" t="s">
        <v>252</v>
      </c>
      <c r="S42" s="57" t="s">
        <v>180</v>
      </c>
    </row>
    <row r="43" spans="2:19" x14ac:dyDescent="0.2">
      <c r="B43" s="22" t="s">
        <v>294</v>
      </c>
      <c r="C43" s="20" t="s">
        <v>53</v>
      </c>
      <c r="D43" s="66">
        <v>75944</v>
      </c>
      <c r="E43" s="56"/>
      <c r="F43" s="57" t="s">
        <v>261</v>
      </c>
      <c r="G43" s="57" t="s">
        <v>99</v>
      </c>
      <c r="H43" s="57" t="s">
        <v>263</v>
      </c>
      <c r="I43" s="57" t="s">
        <v>280</v>
      </c>
      <c r="J43" s="56"/>
      <c r="K43" s="57" t="s">
        <v>284</v>
      </c>
      <c r="L43" s="57" t="s">
        <v>285</v>
      </c>
      <c r="M43" s="57" t="s">
        <v>208</v>
      </c>
      <c r="N43" s="57" t="s">
        <v>238</v>
      </c>
      <c r="O43" s="56"/>
      <c r="P43" s="57" t="s">
        <v>286</v>
      </c>
      <c r="Q43" s="57" t="s">
        <v>287</v>
      </c>
      <c r="R43" s="57" t="s">
        <v>222</v>
      </c>
      <c r="S43" s="57" t="s">
        <v>190</v>
      </c>
    </row>
    <row r="44" spans="2:19" x14ac:dyDescent="0.2">
      <c r="B44" s="22" t="s">
        <v>294</v>
      </c>
      <c r="C44" s="20" t="s">
        <v>52</v>
      </c>
      <c r="D44" s="66">
        <v>69432</v>
      </c>
      <c r="E44" s="56"/>
      <c r="F44" s="57" t="s">
        <v>172</v>
      </c>
      <c r="G44" s="57" t="s">
        <v>172</v>
      </c>
      <c r="H44" s="57" t="s">
        <v>224</v>
      </c>
      <c r="I44" s="57" t="s">
        <v>224</v>
      </c>
      <c r="J44" s="56"/>
      <c r="K44" s="57" t="s">
        <v>226</v>
      </c>
      <c r="L44" s="57" t="s">
        <v>199</v>
      </c>
      <c r="M44" s="57" t="s">
        <v>245</v>
      </c>
      <c r="N44" s="57" t="s">
        <v>236</v>
      </c>
      <c r="O44" s="56"/>
      <c r="P44" s="57" t="s">
        <v>162</v>
      </c>
      <c r="Q44" s="57" t="s">
        <v>190</v>
      </c>
      <c r="R44" s="57" t="s">
        <v>215</v>
      </c>
      <c r="S44" s="57" t="s">
        <v>174</v>
      </c>
    </row>
    <row r="45" spans="2:19" x14ac:dyDescent="0.2">
      <c r="B45" s="22" t="s">
        <v>294</v>
      </c>
      <c r="C45" s="20" t="s">
        <v>52</v>
      </c>
      <c r="D45" s="66">
        <v>5872</v>
      </c>
      <c r="E45" s="56"/>
      <c r="F45" s="57" t="s">
        <v>159</v>
      </c>
      <c r="G45" s="57" t="s">
        <v>160</v>
      </c>
      <c r="H45" s="57" t="s">
        <v>161</v>
      </c>
      <c r="I45" s="57" t="s">
        <v>171</v>
      </c>
      <c r="J45" s="56"/>
      <c r="K45" s="57" t="s">
        <v>239</v>
      </c>
      <c r="L45" s="57" t="s">
        <v>179</v>
      </c>
      <c r="M45" s="57" t="s">
        <v>228</v>
      </c>
      <c r="N45" s="57" t="s">
        <v>236</v>
      </c>
      <c r="O45" s="56"/>
      <c r="P45" s="57" t="s">
        <v>186</v>
      </c>
      <c r="Q45" s="57" t="s">
        <v>164</v>
      </c>
      <c r="R45" s="57" t="s">
        <v>174</v>
      </c>
      <c r="S45" s="57" t="s">
        <v>199</v>
      </c>
    </row>
    <row r="46" spans="2:19" x14ac:dyDescent="0.2">
      <c r="B46" s="22" t="s">
        <v>294</v>
      </c>
      <c r="C46" s="20" t="s">
        <v>52</v>
      </c>
      <c r="D46" s="66">
        <v>7918</v>
      </c>
      <c r="E46" s="56"/>
      <c r="F46" s="57" t="s">
        <v>171</v>
      </c>
      <c r="G46" s="57" t="s">
        <v>172</v>
      </c>
      <c r="H46" s="57" t="s">
        <v>172</v>
      </c>
      <c r="I46" s="57" t="s">
        <v>224</v>
      </c>
      <c r="J46" s="56"/>
      <c r="K46" s="57" t="s">
        <v>179</v>
      </c>
      <c r="L46" s="57" t="s">
        <v>203</v>
      </c>
      <c r="M46" s="57" t="s">
        <v>228</v>
      </c>
      <c r="N46" s="57" t="s">
        <v>175</v>
      </c>
      <c r="O46" s="56"/>
      <c r="P46" s="57" t="s">
        <v>239</v>
      </c>
      <c r="Q46" s="57" t="s">
        <v>239</v>
      </c>
      <c r="R46" s="57" t="s">
        <v>192</v>
      </c>
      <c r="S46" s="57" t="s">
        <v>165</v>
      </c>
    </row>
    <row r="47" spans="2:19" x14ac:dyDescent="0.2">
      <c r="B47" s="22" t="s">
        <v>294</v>
      </c>
      <c r="C47" s="20" t="s">
        <v>52</v>
      </c>
      <c r="D47" s="66">
        <v>734</v>
      </c>
      <c r="E47" s="66"/>
      <c r="F47" s="57" t="s">
        <v>250</v>
      </c>
      <c r="G47" s="57" t="s">
        <v>202</v>
      </c>
      <c r="H47" s="65"/>
      <c r="I47" s="65"/>
      <c r="J47" s="66"/>
      <c r="K47" s="57" t="s">
        <v>262</v>
      </c>
      <c r="L47" s="57" t="s">
        <v>288</v>
      </c>
      <c r="M47" s="65"/>
      <c r="N47" s="65"/>
      <c r="O47" s="66"/>
      <c r="P47" s="57" t="s">
        <v>248</v>
      </c>
      <c r="Q47" s="57" t="s">
        <v>173</v>
      </c>
      <c r="R47" s="65"/>
      <c r="S47" s="65"/>
    </row>
    <row r="48" spans="2:19" x14ac:dyDescent="0.2">
      <c r="B48" s="22" t="s">
        <v>294</v>
      </c>
      <c r="C48" s="20" t="s">
        <v>52</v>
      </c>
      <c r="D48" s="66">
        <v>3647</v>
      </c>
      <c r="E48" s="56"/>
      <c r="F48" s="57" t="s">
        <v>224</v>
      </c>
      <c r="G48" s="57" t="s">
        <v>225</v>
      </c>
      <c r="H48" s="57" t="s">
        <v>247</v>
      </c>
      <c r="I48" s="57" t="s">
        <v>247</v>
      </c>
      <c r="J48" s="56"/>
      <c r="K48" s="57" t="s">
        <v>274</v>
      </c>
      <c r="L48" s="57" t="s">
        <v>196</v>
      </c>
      <c r="M48" s="57" t="s">
        <v>266</v>
      </c>
      <c r="N48" s="65"/>
      <c r="O48" s="56"/>
      <c r="P48" s="57" t="s">
        <v>244</v>
      </c>
      <c r="Q48" s="57" t="s">
        <v>231</v>
      </c>
      <c r="R48" s="57" t="s">
        <v>232</v>
      </c>
      <c r="S48" s="57" t="s">
        <v>176</v>
      </c>
    </row>
    <row r="49" spans="2:19" x14ac:dyDescent="0.2">
      <c r="B49" s="58" t="s">
        <v>42</v>
      </c>
      <c r="C49" s="54"/>
      <c r="D49" s="73">
        <f>AVERAGE(D39:D48)</f>
        <v>23493.3</v>
      </c>
      <c r="E49" s="59"/>
      <c r="F49" s="60" t="s">
        <v>159</v>
      </c>
      <c r="G49" s="60" t="s">
        <v>160</v>
      </c>
      <c r="H49" s="60" t="s">
        <v>160</v>
      </c>
      <c r="I49" s="60" t="s">
        <v>171</v>
      </c>
      <c r="J49" s="59"/>
      <c r="K49" s="60" t="s">
        <v>173</v>
      </c>
      <c r="L49" s="60" t="s">
        <v>200</v>
      </c>
      <c r="M49" s="60" t="s">
        <v>245</v>
      </c>
      <c r="N49" s="60" t="s">
        <v>245</v>
      </c>
      <c r="O49" s="59"/>
      <c r="P49" s="60" t="s">
        <v>233</v>
      </c>
      <c r="Q49" s="60" t="s">
        <v>195</v>
      </c>
      <c r="R49" s="60" t="s">
        <v>210</v>
      </c>
      <c r="S49" s="60" t="s">
        <v>200</v>
      </c>
    </row>
    <row r="50" spans="2:19" x14ac:dyDescent="0.2">
      <c r="B50" s="58" t="s">
        <v>43</v>
      </c>
      <c r="C50" s="54"/>
      <c r="D50" s="73">
        <f>MEDIAN(D39:D48)</f>
        <v>7021.5</v>
      </c>
      <c r="E50" s="59"/>
      <c r="F50" s="60" t="s">
        <v>171</v>
      </c>
      <c r="G50" s="60" t="s">
        <v>172</v>
      </c>
      <c r="H50" s="60" t="s">
        <v>171</v>
      </c>
      <c r="I50" s="60" t="s">
        <v>224</v>
      </c>
      <c r="J50" s="59"/>
      <c r="K50" s="60" t="s">
        <v>232</v>
      </c>
      <c r="L50" s="60" t="s">
        <v>257</v>
      </c>
      <c r="M50" s="60" t="s">
        <v>228</v>
      </c>
      <c r="N50" s="60" t="s">
        <v>175</v>
      </c>
      <c r="O50" s="59"/>
      <c r="P50" s="60" t="s">
        <v>164</v>
      </c>
      <c r="Q50" s="60" t="s">
        <v>169</v>
      </c>
      <c r="R50" s="60" t="s">
        <v>192</v>
      </c>
      <c r="S50" s="60" t="s">
        <v>179</v>
      </c>
    </row>
    <row r="51" spans="2:19" x14ac:dyDescent="0.2">
      <c r="B51" s="22"/>
      <c r="C51" s="20"/>
      <c r="D51" s="67"/>
      <c r="E51" s="67"/>
      <c r="F51" s="65"/>
      <c r="G51" s="65"/>
      <c r="H51" s="65"/>
      <c r="I51" s="65"/>
      <c r="J51" s="67"/>
      <c r="K51" s="65"/>
      <c r="L51" s="65"/>
      <c r="M51" s="65"/>
      <c r="N51" s="65"/>
      <c r="O51" s="67"/>
      <c r="P51" s="65"/>
      <c r="Q51" s="65"/>
      <c r="R51" s="65"/>
      <c r="S51" s="65"/>
    </row>
    <row r="52" spans="2:19" x14ac:dyDescent="0.2">
      <c r="B52" s="58" t="s">
        <v>38</v>
      </c>
      <c r="C52" s="54"/>
      <c r="D52" s="73">
        <f>AVERAGE(D39:D48,D21:D34,D6:D16)</f>
        <v>20881.2</v>
      </c>
      <c r="E52" s="59"/>
      <c r="F52" s="60" t="s">
        <v>207</v>
      </c>
      <c r="G52" s="60" t="s">
        <v>170</v>
      </c>
      <c r="H52" s="60" t="s">
        <v>161</v>
      </c>
      <c r="I52" s="60" t="s">
        <v>172</v>
      </c>
      <c r="J52" s="59"/>
      <c r="K52" s="60" t="s">
        <v>169</v>
      </c>
      <c r="L52" s="60" t="s">
        <v>192</v>
      </c>
      <c r="M52" s="60" t="s">
        <v>228</v>
      </c>
      <c r="N52" s="60" t="s">
        <v>236</v>
      </c>
      <c r="O52" s="59"/>
      <c r="P52" s="60" t="s">
        <v>191</v>
      </c>
      <c r="Q52" s="60" t="s">
        <v>289</v>
      </c>
      <c r="R52" s="60" t="s">
        <v>169</v>
      </c>
      <c r="S52" s="60" t="s">
        <v>165</v>
      </c>
    </row>
    <row r="53" spans="2:19" x14ac:dyDescent="0.2">
      <c r="B53" s="58" t="s">
        <v>39</v>
      </c>
      <c r="C53" s="54"/>
      <c r="D53" s="73">
        <f>MEDIAN(D39:D48,D21:D34,D6:D16)</f>
        <v>4463</v>
      </c>
      <c r="E53" s="59"/>
      <c r="F53" s="60" t="s">
        <v>170</v>
      </c>
      <c r="G53" s="60" t="s">
        <v>161</v>
      </c>
      <c r="H53" s="60" t="s">
        <v>171</v>
      </c>
      <c r="I53" s="60" t="s">
        <v>172</v>
      </c>
      <c r="J53" s="59"/>
      <c r="K53" s="60" t="s">
        <v>173</v>
      </c>
      <c r="L53" s="60" t="s">
        <v>179</v>
      </c>
      <c r="M53" s="60" t="s">
        <v>228</v>
      </c>
      <c r="N53" s="60" t="s">
        <v>236</v>
      </c>
      <c r="O53" s="59"/>
      <c r="P53" s="60" t="s">
        <v>205</v>
      </c>
      <c r="Q53" s="60" t="s">
        <v>215</v>
      </c>
      <c r="R53" s="60" t="s">
        <v>169</v>
      </c>
      <c r="S53" s="60" t="s">
        <v>165</v>
      </c>
    </row>
  </sheetData>
  <mergeCells count="3">
    <mergeCell ref="K3:N3"/>
    <mergeCell ref="F3:I3"/>
    <mergeCell ref="P3:S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3574-C1C4-2F42-8727-DBD895D4BCC1}">
  <dimension ref="A1"/>
  <sheetViews>
    <sheetView workbookViewId="0">
      <selection activeCell="C1" sqref="C1"/>
    </sheetView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05AE-4014-EE42-B42F-3E7FFEDD6C5C}">
  <dimension ref="B2:K58"/>
  <sheetViews>
    <sheetView topLeftCell="C1" zoomScale="134" zoomScaleNormal="100" workbookViewId="0">
      <selection activeCell="D2" sqref="D2"/>
    </sheetView>
  </sheetViews>
  <sheetFormatPr baseColWidth="10" defaultColWidth="9.42578125" defaultRowHeight="13" x14ac:dyDescent="0.15"/>
  <cols>
    <col min="1" max="1" width="3.5703125" style="139" customWidth="1"/>
    <col min="2" max="2" width="41.7109375" style="139" bestFit="1" customWidth="1"/>
    <col min="3" max="11" width="9.42578125" style="140"/>
    <col min="12" max="16384" width="9.42578125" style="139"/>
  </cols>
  <sheetData>
    <row r="2" spans="2:11" ht="18" x14ac:dyDescent="0.2">
      <c r="B2" s="141" t="s">
        <v>111</v>
      </c>
      <c r="C2" s="140" t="s">
        <v>415</v>
      </c>
      <c r="D2" s="140" t="s">
        <v>414</v>
      </c>
      <c r="E2" s="140" t="s">
        <v>413</v>
      </c>
      <c r="F2" s="140" t="s">
        <v>412</v>
      </c>
      <c r="G2" s="140" t="s">
        <v>140</v>
      </c>
      <c r="H2" s="140" t="s">
        <v>139</v>
      </c>
      <c r="I2" s="140" t="s">
        <v>138</v>
      </c>
      <c r="J2" s="140" t="s">
        <v>141</v>
      </c>
      <c r="K2" s="140" t="s">
        <v>485</v>
      </c>
    </row>
    <row r="3" spans="2:11" x14ac:dyDescent="0.15">
      <c r="B3" s="69" t="s">
        <v>112</v>
      </c>
      <c r="C3" s="37" t="s">
        <v>416</v>
      </c>
      <c r="D3" s="37" t="s">
        <v>417</v>
      </c>
      <c r="E3" s="37" t="s">
        <v>418</v>
      </c>
      <c r="F3" s="37" t="s">
        <v>419</v>
      </c>
      <c r="G3" s="37" t="s">
        <v>420</v>
      </c>
      <c r="H3" s="37" t="s">
        <v>421</v>
      </c>
      <c r="I3" s="37" t="s">
        <v>422</v>
      </c>
      <c r="J3" s="37" t="s">
        <v>145</v>
      </c>
      <c r="K3" s="37" t="s">
        <v>146</v>
      </c>
    </row>
    <row r="4" spans="2:11" x14ac:dyDescent="0.15">
      <c r="B4" s="139" t="s">
        <v>55</v>
      </c>
      <c r="C4" s="140">
        <v>389</v>
      </c>
      <c r="D4" s="140">
        <v>452.2</v>
      </c>
      <c r="E4" s="191">
        <v>491.1</v>
      </c>
      <c r="F4" s="140">
        <v>536</v>
      </c>
      <c r="G4" s="140">
        <v>592.4</v>
      </c>
      <c r="H4" s="140">
        <v>657.4</v>
      </c>
      <c r="I4" s="140">
        <v>728.9</v>
      </c>
      <c r="J4" s="140">
        <v>774.7</v>
      </c>
      <c r="K4" s="140">
        <v>801.6</v>
      </c>
    </row>
    <row r="5" spans="2:11" s="152" customFormat="1" ht="11" x14ac:dyDescent="0.15">
      <c r="B5" s="181" t="s">
        <v>486</v>
      </c>
      <c r="C5" s="182"/>
      <c r="D5" s="182">
        <f>D4/C4-1</f>
        <v>0.16246786632390742</v>
      </c>
      <c r="E5" s="196">
        <f>E4/D4-1</f>
        <v>8.6023883237505538E-2</v>
      </c>
      <c r="F5" s="182">
        <f>F4/E4-1</f>
        <v>9.1427407859906218E-2</v>
      </c>
      <c r="G5" s="182">
        <f t="shared" ref="G5:K5" si="0">G4/F4-1</f>
        <v>0.10522388059701493</v>
      </c>
      <c r="H5" s="182">
        <f t="shared" si="0"/>
        <v>0.10972316002700877</v>
      </c>
      <c r="I5" s="182">
        <f t="shared" si="0"/>
        <v>0.10876178886522658</v>
      </c>
      <c r="J5" s="182">
        <f t="shared" si="0"/>
        <v>6.2834408012073073E-2</v>
      </c>
      <c r="K5" s="182">
        <f t="shared" si="0"/>
        <v>3.4723118626565075E-2</v>
      </c>
    </row>
    <row r="6" spans="2:11" ht="14" thickBot="1" x14ac:dyDescent="0.2">
      <c r="B6" s="156" t="s">
        <v>114</v>
      </c>
      <c r="C6" s="157">
        <v>0</v>
      </c>
      <c r="D6" s="157">
        <v>0</v>
      </c>
      <c r="E6" s="193">
        <v>0</v>
      </c>
      <c r="F6" s="157">
        <v>0</v>
      </c>
      <c r="G6" s="157">
        <v>0</v>
      </c>
      <c r="H6" s="157">
        <v>0</v>
      </c>
      <c r="I6" s="157">
        <v>0</v>
      </c>
      <c r="J6" s="157">
        <v>0</v>
      </c>
      <c r="K6" s="157">
        <v>0</v>
      </c>
    </row>
    <row r="7" spans="2:11" s="148" customFormat="1" x14ac:dyDescent="0.15">
      <c r="B7" s="148" t="s">
        <v>115</v>
      </c>
      <c r="C7" s="171">
        <f>SUM(C6,C4)</f>
        <v>389</v>
      </c>
      <c r="D7" s="149">
        <f>SUM(D6,D4)</f>
        <v>452.2</v>
      </c>
      <c r="E7" s="194">
        <f>SUM(E6,E4)</f>
        <v>491.1</v>
      </c>
      <c r="F7" s="171">
        <f>SUM(F6,F4)</f>
        <v>536</v>
      </c>
      <c r="G7" s="149">
        <f>SUM(G6,G4)</f>
        <v>592.4</v>
      </c>
      <c r="H7" s="149">
        <f t="shared" ref="H7:K7" si="1">SUM(H6,H4)</f>
        <v>657.4</v>
      </c>
      <c r="I7" s="149">
        <f t="shared" si="1"/>
        <v>728.9</v>
      </c>
      <c r="J7" s="149">
        <f t="shared" si="1"/>
        <v>774.7</v>
      </c>
      <c r="K7" s="149">
        <f t="shared" si="1"/>
        <v>801.6</v>
      </c>
    </row>
    <row r="8" spans="2:11" s="148" customFormat="1" x14ac:dyDescent="0.15">
      <c r="C8" s="149"/>
      <c r="D8" s="149"/>
      <c r="E8" s="194"/>
      <c r="F8" s="149"/>
      <c r="G8" s="149"/>
      <c r="H8" s="149"/>
      <c r="I8" s="149"/>
      <c r="J8" s="149"/>
      <c r="K8" s="149"/>
    </row>
    <row r="9" spans="2:11" x14ac:dyDescent="0.15">
      <c r="B9" s="139" t="s">
        <v>116</v>
      </c>
      <c r="C9" s="140">
        <v>234.8</v>
      </c>
      <c r="D9" s="140">
        <v>269.3</v>
      </c>
      <c r="E9" s="191">
        <v>283.10000000000002</v>
      </c>
      <c r="F9" s="140">
        <v>305.3</v>
      </c>
      <c r="G9" s="140">
        <v>334.1</v>
      </c>
      <c r="H9" s="140">
        <v>367.4</v>
      </c>
      <c r="I9" s="140">
        <v>407.7</v>
      </c>
      <c r="J9" s="140">
        <v>433</v>
      </c>
      <c r="K9" s="140">
        <v>447.3</v>
      </c>
    </row>
    <row r="10" spans="2:11" s="197" customFormat="1" ht="11" x14ac:dyDescent="0.15">
      <c r="B10" s="197" t="s">
        <v>117</v>
      </c>
      <c r="C10" s="198">
        <f>C9/C7</f>
        <v>0.6035989717223651</v>
      </c>
      <c r="D10" s="198">
        <f>D9/D7</f>
        <v>0.59553295002211415</v>
      </c>
      <c r="E10" s="199">
        <f>E9/E7</f>
        <v>0.57646100590511096</v>
      </c>
      <c r="F10" s="198">
        <f>F9/F7</f>
        <v>0.56958955223880603</v>
      </c>
      <c r="G10" s="198">
        <f t="shared" ref="G10:K10" si="2">G9/G7</f>
        <v>0.56397704253882519</v>
      </c>
      <c r="H10" s="198">
        <f t="shared" si="2"/>
        <v>0.5588682689382416</v>
      </c>
      <c r="I10" s="198">
        <f t="shared" si="2"/>
        <v>0.55933598573192478</v>
      </c>
      <c r="J10" s="198">
        <f t="shared" si="2"/>
        <v>0.55892603588485867</v>
      </c>
      <c r="K10" s="198">
        <f t="shared" si="2"/>
        <v>0.55800898203592819</v>
      </c>
    </row>
    <row r="11" spans="2:11" x14ac:dyDescent="0.15">
      <c r="B11" s="139" t="s">
        <v>484</v>
      </c>
      <c r="C11" s="140">
        <v>0</v>
      </c>
      <c r="D11" s="140">
        <v>0</v>
      </c>
      <c r="E11" s="191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</row>
    <row r="12" spans="2:11" ht="14" thickBot="1" x14ac:dyDescent="0.2">
      <c r="B12" s="200" t="s">
        <v>117</v>
      </c>
      <c r="C12" s="201">
        <f>C11/C7</f>
        <v>0</v>
      </c>
      <c r="D12" s="201">
        <f>D11/D7</f>
        <v>0</v>
      </c>
      <c r="E12" s="202">
        <f>E11/E7</f>
        <v>0</v>
      </c>
      <c r="F12" s="201">
        <f>F11/F7</f>
        <v>0</v>
      </c>
      <c r="G12" s="201">
        <f t="shared" ref="G12:K12" si="3">G11/G7</f>
        <v>0</v>
      </c>
      <c r="H12" s="201">
        <f t="shared" si="3"/>
        <v>0</v>
      </c>
      <c r="I12" s="201">
        <f t="shared" si="3"/>
        <v>0</v>
      </c>
      <c r="J12" s="201">
        <f t="shared" si="3"/>
        <v>0</v>
      </c>
      <c r="K12" s="201">
        <f t="shared" si="3"/>
        <v>0</v>
      </c>
    </row>
    <row r="13" spans="2:11" s="148" customFormat="1" x14ac:dyDescent="0.15">
      <c r="B13" s="148" t="s">
        <v>118</v>
      </c>
      <c r="C13" s="171">
        <f>C7-C9-C11</f>
        <v>154.19999999999999</v>
      </c>
      <c r="D13" s="171">
        <f>D7-D9-D11</f>
        <v>182.89999999999998</v>
      </c>
      <c r="E13" s="203">
        <f>E7-E9-E11</f>
        <v>208</v>
      </c>
      <c r="F13" s="171">
        <f>F7-F9-F11</f>
        <v>230.7</v>
      </c>
      <c r="G13" s="171">
        <f t="shared" ref="G13:K13" si="4">G7-G9-G11</f>
        <v>258.29999999999995</v>
      </c>
      <c r="H13" s="171">
        <f t="shared" si="4"/>
        <v>290</v>
      </c>
      <c r="I13" s="171">
        <f t="shared" si="4"/>
        <v>321.2</v>
      </c>
      <c r="J13" s="171">
        <f t="shared" si="4"/>
        <v>341.70000000000005</v>
      </c>
      <c r="K13" s="171">
        <f t="shared" si="4"/>
        <v>354.3</v>
      </c>
    </row>
    <row r="14" spans="2:11" s="152" customFormat="1" ht="11" x14ac:dyDescent="0.15">
      <c r="B14" s="197" t="s">
        <v>117</v>
      </c>
      <c r="C14" s="198">
        <f>C13/C7</f>
        <v>0.39640102827763496</v>
      </c>
      <c r="D14" s="198">
        <f>D13/D7</f>
        <v>0.40446704997788585</v>
      </c>
      <c r="E14" s="199">
        <f>E13/E7</f>
        <v>0.42353899409488899</v>
      </c>
      <c r="F14" s="198">
        <f>F13/F7</f>
        <v>0.43041044776119403</v>
      </c>
      <c r="G14" s="198">
        <f t="shared" ref="G14:K14" si="5">G13/G7</f>
        <v>0.43602295746117481</v>
      </c>
      <c r="H14" s="198">
        <f t="shared" si="5"/>
        <v>0.44113173106175846</v>
      </c>
      <c r="I14" s="198">
        <f t="shared" si="5"/>
        <v>0.44066401426807517</v>
      </c>
      <c r="J14" s="198">
        <f t="shared" si="5"/>
        <v>0.44107396411514138</v>
      </c>
      <c r="K14" s="198">
        <f t="shared" si="5"/>
        <v>0.44199101796407186</v>
      </c>
    </row>
    <row r="15" spans="2:11" s="152" customFormat="1" ht="11" x14ac:dyDescent="0.15">
      <c r="B15" s="164" t="s">
        <v>119</v>
      </c>
      <c r="C15" s="153"/>
      <c r="D15" s="182">
        <f>D13/C13-1</f>
        <v>0.18612191958495461</v>
      </c>
      <c r="E15" s="196">
        <f>E13/D13-1</f>
        <v>0.13723346090760002</v>
      </c>
      <c r="F15" s="182">
        <f>F13/E13-1</f>
        <v>0.10913461538461533</v>
      </c>
      <c r="G15" s="182">
        <f>G13/F13-1</f>
        <v>0.11963589076723014</v>
      </c>
      <c r="H15" s="182">
        <f>H13/G13-1</f>
        <v>0.12272551296941558</v>
      </c>
      <c r="I15" s="182">
        <f t="shared" ref="I15:K15" si="6">I13/H13-1</f>
        <v>0.10758620689655163</v>
      </c>
      <c r="J15" s="182">
        <f t="shared" si="6"/>
        <v>6.3823163138231775E-2</v>
      </c>
      <c r="K15" s="182">
        <f t="shared" si="6"/>
        <v>3.6874451273046338E-2</v>
      </c>
    </row>
    <row r="16" spans="2:11" s="152" customFormat="1" ht="11" x14ac:dyDescent="0.15">
      <c r="C16" s="153"/>
      <c r="D16" s="153"/>
      <c r="E16" s="192"/>
      <c r="F16" s="153"/>
      <c r="G16" s="153"/>
      <c r="H16" s="153"/>
      <c r="I16" s="153"/>
      <c r="J16" s="153"/>
      <c r="K16" s="153"/>
    </row>
    <row r="17" spans="2:11" x14ac:dyDescent="0.15">
      <c r="B17" s="139" t="s">
        <v>120</v>
      </c>
      <c r="C17" s="140">
        <v>65.900000000000006</v>
      </c>
      <c r="D17" s="140">
        <v>72.8</v>
      </c>
      <c r="E17" s="191">
        <v>83</v>
      </c>
      <c r="F17" s="140">
        <v>92</v>
      </c>
      <c r="G17" s="140">
        <v>99</v>
      </c>
      <c r="H17" s="140">
        <v>108.3</v>
      </c>
      <c r="I17" s="140">
        <v>119.8</v>
      </c>
      <c r="J17" s="140">
        <v>123.3</v>
      </c>
      <c r="K17" s="140">
        <v>127</v>
      </c>
    </row>
    <row r="18" spans="2:11" s="164" customFormat="1" ht="11" x14ac:dyDescent="0.15">
      <c r="B18" s="164" t="s">
        <v>117</v>
      </c>
      <c r="C18" s="198">
        <f>C17/C7</f>
        <v>0.1694087403598972</v>
      </c>
      <c r="D18" s="198">
        <f t="shared" ref="D18:K18" si="7">D17/D7</f>
        <v>0.1609907120743034</v>
      </c>
      <c r="E18" s="204">
        <f t="shared" si="7"/>
        <v>0.16900834860517205</v>
      </c>
      <c r="F18" s="198">
        <f t="shared" si="7"/>
        <v>0.17164179104477612</v>
      </c>
      <c r="G18" s="198">
        <f t="shared" si="7"/>
        <v>0.16711681296421338</v>
      </c>
      <c r="H18" s="198">
        <f t="shared" si="7"/>
        <v>0.16473988439306358</v>
      </c>
      <c r="I18" s="198">
        <f t="shared" si="7"/>
        <v>0.1643572506516669</v>
      </c>
      <c r="J18" s="198">
        <f t="shared" si="7"/>
        <v>0.15915838389053827</v>
      </c>
      <c r="K18" s="198">
        <f t="shared" si="7"/>
        <v>0.15843313373253493</v>
      </c>
    </row>
    <row r="19" spans="2:11" x14ac:dyDescent="0.15">
      <c r="B19" s="139" t="s">
        <v>121</v>
      </c>
      <c r="C19" s="140">
        <v>50</v>
      </c>
      <c r="D19" s="140">
        <v>53.5</v>
      </c>
      <c r="E19" s="191">
        <v>59.1</v>
      </c>
      <c r="F19" s="140">
        <v>66.2</v>
      </c>
      <c r="G19" s="140">
        <v>71.2</v>
      </c>
      <c r="H19" s="140">
        <v>77.8</v>
      </c>
      <c r="I19" s="140">
        <v>86.1</v>
      </c>
      <c r="J19" s="140">
        <v>89.4</v>
      </c>
      <c r="K19" s="140">
        <v>91.8</v>
      </c>
    </row>
    <row r="20" spans="2:11" s="152" customFormat="1" ht="11" x14ac:dyDescent="0.15">
      <c r="B20" s="164" t="s">
        <v>117</v>
      </c>
      <c r="C20" s="198">
        <f>C19/C7</f>
        <v>0.12853470437017994</v>
      </c>
      <c r="D20" s="198">
        <f t="shared" ref="D20:K20" si="8">D19/D7</f>
        <v>0.11831048208757187</v>
      </c>
      <c r="E20" s="204">
        <f t="shared" si="8"/>
        <v>0.12034208918753818</v>
      </c>
      <c r="F20" s="198">
        <f t="shared" si="8"/>
        <v>0.12350746268656716</v>
      </c>
      <c r="G20" s="198">
        <f t="shared" si="8"/>
        <v>0.12018906144496963</v>
      </c>
      <c r="H20" s="198">
        <f t="shared" si="8"/>
        <v>0.1183449954365683</v>
      </c>
      <c r="I20" s="198">
        <f t="shared" si="8"/>
        <v>0.11812319934147344</v>
      </c>
      <c r="J20" s="198">
        <f t="shared" si="8"/>
        <v>0.11539950948754357</v>
      </c>
      <c r="K20" s="198">
        <f t="shared" si="8"/>
        <v>0.11452095808383232</v>
      </c>
    </row>
    <row r="21" spans="2:11" x14ac:dyDescent="0.15">
      <c r="B21" s="139" t="s">
        <v>122</v>
      </c>
      <c r="C21" s="140">
        <v>0</v>
      </c>
      <c r="D21" s="140">
        <v>0</v>
      </c>
      <c r="E21" s="191">
        <v>0</v>
      </c>
      <c r="F21" s="140">
        <v>7</v>
      </c>
      <c r="G21" s="140">
        <v>7</v>
      </c>
      <c r="H21" s="140">
        <v>7</v>
      </c>
      <c r="I21" s="140">
        <v>7</v>
      </c>
      <c r="J21" s="140">
        <v>7</v>
      </c>
      <c r="K21" s="140">
        <v>7</v>
      </c>
    </row>
    <row r="22" spans="2:11" s="152" customFormat="1" ht="11" x14ac:dyDescent="0.15">
      <c r="B22" s="164" t="s">
        <v>117</v>
      </c>
      <c r="C22" s="198">
        <f>C21/C7</f>
        <v>0</v>
      </c>
      <c r="D22" s="198">
        <f t="shared" ref="D22:K22" si="9">D21/D7</f>
        <v>0</v>
      </c>
      <c r="E22" s="204">
        <f t="shared" si="9"/>
        <v>0</v>
      </c>
      <c r="F22" s="198">
        <f t="shared" si="9"/>
        <v>1.3059701492537313E-2</v>
      </c>
      <c r="G22" s="198">
        <f t="shared" si="9"/>
        <v>1.1816340310600946E-2</v>
      </c>
      <c r="H22" s="198">
        <f t="shared" si="9"/>
        <v>1.0648007301490721E-2</v>
      </c>
      <c r="I22" s="198">
        <f t="shared" si="9"/>
        <v>9.6035121415832085E-3</v>
      </c>
      <c r="J22" s="198">
        <f t="shared" si="9"/>
        <v>9.035755776429585E-3</v>
      </c>
      <c r="K22" s="198">
        <f t="shared" si="9"/>
        <v>8.7325349301397206E-3</v>
      </c>
    </row>
    <row r="23" spans="2:11" x14ac:dyDescent="0.15">
      <c r="B23" s="139" t="s">
        <v>123</v>
      </c>
      <c r="C23" s="140">
        <v>0</v>
      </c>
      <c r="D23" s="140">
        <v>0</v>
      </c>
      <c r="E23" s="191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</row>
    <row r="24" spans="2:11" s="152" customFormat="1" ht="12" thickBot="1" x14ac:dyDescent="0.2">
      <c r="B24" s="205" t="s">
        <v>117</v>
      </c>
      <c r="C24" s="201">
        <f>C23/C7</f>
        <v>0</v>
      </c>
      <c r="D24" s="201">
        <f t="shared" ref="D24:K24" si="10">D23/D7</f>
        <v>0</v>
      </c>
      <c r="E24" s="206">
        <f t="shared" si="10"/>
        <v>0</v>
      </c>
      <c r="F24" s="201">
        <f t="shared" si="10"/>
        <v>0</v>
      </c>
      <c r="G24" s="201">
        <f t="shared" si="10"/>
        <v>0</v>
      </c>
      <c r="H24" s="201">
        <f t="shared" si="10"/>
        <v>0</v>
      </c>
      <c r="I24" s="201">
        <f t="shared" si="10"/>
        <v>0</v>
      </c>
      <c r="J24" s="201">
        <f t="shared" si="10"/>
        <v>0</v>
      </c>
      <c r="K24" s="201">
        <f t="shared" si="10"/>
        <v>0</v>
      </c>
    </row>
    <row r="25" spans="2:11" s="148" customFormat="1" x14ac:dyDescent="0.15">
      <c r="B25" s="148" t="s">
        <v>124</v>
      </c>
      <c r="C25" s="171">
        <f>C13-C17-C19-C21-C23</f>
        <v>38.299999999999983</v>
      </c>
      <c r="D25" s="171">
        <f t="shared" ref="D25:K25" si="11">D13-D17-D19-D21-D23</f>
        <v>56.59999999999998</v>
      </c>
      <c r="E25" s="207">
        <f t="shared" si="11"/>
        <v>65.900000000000006</v>
      </c>
      <c r="F25" s="171">
        <f t="shared" si="11"/>
        <v>65.499999999999986</v>
      </c>
      <c r="G25" s="171">
        <f t="shared" si="11"/>
        <v>81.099999999999952</v>
      </c>
      <c r="H25" s="171">
        <f t="shared" si="11"/>
        <v>96.899999999999991</v>
      </c>
      <c r="I25" s="171">
        <f t="shared" si="11"/>
        <v>108.29999999999998</v>
      </c>
      <c r="J25" s="171">
        <f t="shared" si="11"/>
        <v>122.00000000000003</v>
      </c>
      <c r="K25" s="171">
        <f t="shared" si="11"/>
        <v>128.5</v>
      </c>
    </row>
    <row r="26" spans="2:11" s="152" customFormat="1" ht="11" x14ac:dyDescent="0.15">
      <c r="B26" s="164" t="s">
        <v>117</v>
      </c>
      <c r="C26" s="198">
        <f>C25/C7</f>
        <v>9.8457583547557792E-2</v>
      </c>
      <c r="D26" s="198">
        <f t="shared" ref="D26:K26" si="12">D25/D7</f>
        <v>0.12516585581601058</v>
      </c>
      <c r="E26" s="204">
        <f t="shared" si="12"/>
        <v>0.1341885563021788</v>
      </c>
      <c r="F26" s="198">
        <f t="shared" si="12"/>
        <v>0.12220149253731341</v>
      </c>
      <c r="G26" s="198">
        <f t="shared" si="12"/>
        <v>0.13690074274139089</v>
      </c>
      <c r="H26" s="198">
        <f t="shared" si="12"/>
        <v>0.14739884393063582</v>
      </c>
      <c r="I26" s="198">
        <f t="shared" si="12"/>
        <v>0.1485800521333516</v>
      </c>
      <c r="J26" s="198">
        <f t="shared" si="12"/>
        <v>0.15748031496062995</v>
      </c>
      <c r="K26" s="198">
        <f t="shared" si="12"/>
        <v>0.16030439121756487</v>
      </c>
    </row>
    <row r="27" spans="2:11" s="152" customFormat="1" ht="11" x14ac:dyDescent="0.15">
      <c r="B27" s="164" t="s">
        <v>125</v>
      </c>
      <c r="C27" s="153"/>
      <c r="D27" s="198">
        <f>D25/C25-1</f>
        <v>0.4778067885117494</v>
      </c>
      <c r="E27" s="204">
        <f t="shared" ref="E27:K27" si="13">E25/D25-1</f>
        <v>0.16431095406360474</v>
      </c>
      <c r="F27" s="198">
        <f t="shared" si="13"/>
        <v>-6.0698027314115555E-3</v>
      </c>
      <c r="G27" s="198">
        <f t="shared" si="13"/>
        <v>0.23816793893129717</v>
      </c>
      <c r="H27" s="198">
        <f t="shared" si="13"/>
        <v>0.19482120838471073</v>
      </c>
      <c r="I27" s="198">
        <f t="shared" si="13"/>
        <v>0.11764705882352944</v>
      </c>
      <c r="J27" s="198">
        <f t="shared" si="13"/>
        <v>0.12650046168051743</v>
      </c>
      <c r="K27" s="198">
        <f t="shared" si="13"/>
        <v>5.3278688524589946E-2</v>
      </c>
    </row>
    <row r="28" spans="2:11" s="152" customFormat="1" ht="11" x14ac:dyDescent="0.15">
      <c r="C28" s="153"/>
      <c r="D28" s="153"/>
      <c r="E28" s="192"/>
      <c r="F28" s="153"/>
      <c r="G28" s="153"/>
      <c r="H28" s="153"/>
      <c r="I28" s="153"/>
      <c r="J28" s="153"/>
      <c r="K28" s="153"/>
    </row>
    <row r="29" spans="2:11" x14ac:dyDescent="0.15">
      <c r="B29" s="139" t="s">
        <v>126</v>
      </c>
      <c r="C29" s="140">
        <v>0</v>
      </c>
      <c r="D29" s="140">
        <v>0</v>
      </c>
      <c r="E29" s="191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</row>
    <row r="30" spans="2:11" s="164" customFormat="1" ht="11" x14ac:dyDescent="0.15">
      <c r="B30" s="164" t="s">
        <v>127</v>
      </c>
      <c r="C30" s="165"/>
      <c r="D30" s="165"/>
      <c r="E30" s="208"/>
      <c r="F30" s="198">
        <v>0</v>
      </c>
      <c r="G30" s="198">
        <v>0</v>
      </c>
      <c r="H30" s="198">
        <v>0</v>
      </c>
      <c r="I30" s="198">
        <v>0</v>
      </c>
      <c r="J30" s="198">
        <v>0</v>
      </c>
      <c r="K30" s="198">
        <v>0</v>
      </c>
    </row>
    <row r="31" spans="2:11" x14ac:dyDescent="0.15">
      <c r="B31" s="139" t="s">
        <v>128</v>
      </c>
      <c r="C31" s="140">
        <v>5.8</v>
      </c>
      <c r="D31" s="140">
        <v>8.1999999999999993</v>
      </c>
      <c r="E31" s="191">
        <v>8.5</v>
      </c>
      <c r="F31" s="214">
        <v>9</v>
      </c>
      <c r="G31" s="214">
        <v>10.5</v>
      </c>
      <c r="H31" s="214">
        <v>12.4</v>
      </c>
      <c r="I31" s="214">
        <v>15.1</v>
      </c>
      <c r="J31" s="214">
        <v>17</v>
      </c>
      <c r="K31" s="214">
        <v>16.399999999999999</v>
      </c>
    </row>
    <row r="32" spans="2:11" s="164" customFormat="1" ht="12" thickBot="1" x14ac:dyDescent="0.2">
      <c r="B32" s="209" t="s">
        <v>483</v>
      </c>
      <c r="C32" s="210"/>
      <c r="D32" s="210"/>
      <c r="E32" s="211"/>
      <c r="F32" s="213">
        <v>0.32500000000000001</v>
      </c>
      <c r="G32" s="213">
        <v>0.23200000000000001</v>
      </c>
      <c r="H32" s="213">
        <v>0.19900000000000001</v>
      </c>
      <c r="I32" s="213">
        <v>0.20899999999999999</v>
      </c>
      <c r="J32" s="213">
        <v>0.23</v>
      </c>
      <c r="K32" s="213">
        <v>0.24</v>
      </c>
    </row>
    <row r="33" spans="2:11" s="148" customFormat="1" x14ac:dyDescent="0.15">
      <c r="B33" s="148" t="s">
        <v>130</v>
      </c>
      <c r="C33" s="149">
        <v>32.6</v>
      </c>
      <c r="D33" s="149">
        <v>48.5</v>
      </c>
      <c r="E33" s="215">
        <v>57.4</v>
      </c>
      <c r="F33" s="149">
        <v>56.5</v>
      </c>
      <c r="G33" s="149">
        <v>70.599999999999994</v>
      </c>
      <c r="H33" s="149">
        <v>84.6</v>
      </c>
      <c r="I33" s="149">
        <v>93.3</v>
      </c>
      <c r="J33" s="149">
        <v>105</v>
      </c>
      <c r="K33" s="149">
        <v>112</v>
      </c>
    </row>
    <row r="34" spans="2:11" s="152" customFormat="1" ht="11" x14ac:dyDescent="0.15">
      <c r="B34" s="164" t="s">
        <v>117</v>
      </c>
      <c r="C34" s="198">
        <f>C33/C7</f>
        <v>8.3804627249357333E-2</v>
      </c>
      <c r="D34" s="198">
        <f t="shared" ref="D34:K34" si="14">D33/D7</f>
        <v>0.10725342768686422</v>
      </c>
      <c r="E34" s="204">
        <f t="shared" si="14"/>
        <v>0.11688047240887801</v>
      </c>
      <c r="F34" s="198">
        <f t="shared" si="14"/>
        <v>0.10541044776119403</v>
      </c>
      <c r="G34" s="198">
        <f t="shared" si="14"/>
        <v>0.11917623227548953</v>
      </c>
      <c r="H34" s="198">
        <f t="shared" si="14"/>
        <v>0.12868877395801642</v>
      </c>
      <c r="I34" s="198">
        <f t="shared" si="14"/>
        <v>0.12800109754424474</v>
      </c>
      <c r="J34" s="198">
        <f t="shared" si="14"/>
        <v>0.13553633664644377</v>
      </c>
      <c r="K34" s="198">
        <f t="shared" si="14"/>
        <v>0.13972055888223553</v>
      </c>
    </row>
    <row r="35" spans="2:11" s="152" customFormat="1" ht="11" x14ac:dyDescent="0.15">
      <c r="B35" s="164" t="s">
        <v>131</v>
      </c>
      <c r="C35" s="153"/>
      <c r="D35" s="198">
        <f>D33/C33-1</f>
        <v>0.4877300613496931</v>
      </c>
      <c r="E35" s="204">
        <f t="shared" ref="E35:K35" si="15">E33/D33-1</f>
        <v>0.18350515463917527</v>
      </c>
      <c r="F35" s="198">
        <f t="shared" si="15"/>
        <v>-1.5679442508710784E-2</v>
      </c>
      <c r="G35" s="198">
        <f t="shared" si="15"/>
        <v>0.2495575221238937</v>
      </c>
      <c r="H35" s="198">
        <f t="shared" si="15"/>
        <v>0.19830028328611893</v>
      </c>
      <c r="I35" s="198">
        <f t="shared" si="15"/>
        <v>0.10283687943262421</v>
      </c>
      <c r="J35" s="198">
        <f t="shared" si="15"/>
        <v>0.12540192926045024</v>
      </c>
      <c r="K35" s="198">
        <f t="shared" si="15"/>
        <v>6.6666666666666652E-2</v>
      </c>
    </row>
    <row r="36" spans="2:11" s="152" customFormat="1" ht="11" x14ac:dyDescent="0.15">
      <c r="C36" s="153"/>
      <c r="D36" s="153"/>
      <c r="E36" s="192"/>
      <c r="F36" s="153"/>
      <c r="G36" s="153"/>
      <c r="H36" s="153"/>
      <c r="I36" s="153"/>
      <c r="J36" s="153"/>
      <c r="K36" s="153"/>
    </row>
    <row r="37" spans="2:11" ht="14" thickBot="1" x14ac:dyDescent="0.2">
      <c r="B37" s="156" t="s">
        <v>487</v>
      </c>
      <c r="C37" s="157">
        <v>0</v>
      </c>
      <c r="D37" s="157">
        <v>0</v>
      </c>
      <c r="E37" s="193">
        <v>0</v>
      </c>
      <c r="F37" s="157">
        <v>29.7</v>
      </c>
      <c r="G37" s="157">
        <v>29.7</v>
      </c>
      <c r="H37" s="157">
        <v>29.7</v>
      </c>
      <c r="I37" s="157">
        <v>29.7</v>
      </c>
      <c r="J37" s="157">
        <v>29.7</v>
      </c>
      <c r="K37" s="157">
        <v>29.7</v>
      </c>
    </row>
    <row r="38" spans="2:11" s="148" customFormat="1" x14ac:dyDescent="0.15">
      <c r="B38" s="148" t="s">
        <v>133</v>
      </c>
      <c r="C38" s="149">
        <f>C33-C37</f>
        <v>32.6</v>
      </c>
      <c r="D38" s="149">
        <f t="shared" ref="D38:K38" si="16">D33-D37</f>
        <v>48.5</v>
      </c>
      <c r="E38" s="215">
        <f t="shared" si="16"/>
        <v>57.4</v>
      </c>
      <c r="F38" s="149">
        <f t="shared" si="16"/>
        <v>26.8</v>
      </c>
      <c r="G38" s="149">
        <f t="shared" si="16"/>
        <v>40.899999999999991</v>
      </c>
      <c r="H38" s="149">
        <f t="shared" si="16"/>
        <v>54.899999999999991</v>
      </c>
      <c r="I38" s="149">
        <f t="shared" si="16"/>
        <v>63.599999999999994</v>
      </c>
      <c r="J38" s="149">
        <f t="shared" si="16"/>
        <v>75.3</v>
      </c>
      <c r="K38" s="149">
        <f t="shared" si="16"/>
        <v>82.3</v>
      </c>
    </row>
    <row r="39" spans="2:11" s="152" customFormat="1" ht="11" x14ac:dyDescent="0.15">
      <c r="B39" s="164" t="s">
        <v>117</v>
      </c>
      <c r="C39" s="198">
        <f>C38/C7</f>
        <v>8.3804627249357333E-2</v>
      </c>
      <c r="D39" s="198">
        <f t="shared" ref="D39:K39" si="17">D38/D7</f>
        <v>0.10725342768686422</v>
      </c>
      <c r="E39" s="204">
        <f t="shared" si="17"/>
        <v>0.11688047240887801</v>
      </c>
      <c r="F39" s="198">
        <f t="shared" si="17"/>
        <v>0.05</v>
      </c>
      <c r="G39" s="198">
        <f t="shared" si="17"/>
        <v>6.9041188386225513E-2</v>
      </c>
      <c r="H39" s="198">
        <f t="shared" si="17"/>
        <v>8.35108001216915E-2</v>
      </c>
      <c r="I39" s="198">
        <f t="shared" si="17"/>
        <v>8.7254767457813132E-2</v>
      </c>
      <c r="J39" s="198">
        <f t="shared" si="17"/>
        <v>9.7198915709306818E-2</v>
      </c>
      <c r="K39" s="198">
        <f t="shared" si="17"/>
        <v>0.10266966067864271</v>
      </c>
    </row>
    <row r="40" spans="2:11" s="152" customFormat="1" ht="11" x14ac:dyDescent="0.15">
      <c r="B40" s="164" t="s">
        <v>482</v>
      </c>
      <c r="C40" s="153"/>
      <c r="D40" s="198">
        <f>D38/C38-1</f>
        <v>0.4877300613496931</v>
      </c>
      <c r="E40" s="204">
        <f t="shared" ref="E40:K40" si="18">E38/D38-1</f>
        <v>0.18350515463917527</v>
      </c>
      <c r="F40" s="198">
        <f t="shared" si="18"/>
        <v>-0.5331010452961672</v>
      </c>
      <c r="G40" s="198">
        <f t="shared" si="18"/>
        <v>0.5261194029850742</v>
      </c>
      <c r="H40" s="198">
        <f t="shared" si="18"/>
        <v>0.34229828850855748</v>
      </c>
      <c r="I40" s="198">
        <f t="shared" si="18"/>
        <v>0.15846994535519143</v>
      </c>
      <c r="J40" s="198">
        <f t="shared" si="18"/>
        <v>0.18396226415094352</v>
      </c>
      <c r="K40" s="198">
        <f t="shared" si="18"/>
        <v>9.2961487383798058E-2</v>
      </c>
    </row>
    <row r="41" spans="2:11" s="152" customFormat="1" ht="11" x14ac:dyDescent="0.15">
      <c r="C41" s="153"/>
      <c r="D41" s="153"/>
      <c r="E41" s="192"/>
      <c r="F41" s="153"/>
      <c r="G41" s="153"/>
      <c r="H41" s="153"/>
      <c r="I41" s="153"/>
      <c r="J41" s="153"/>
      <c r="K41" s="153"/>
    </row>
    <row r="42" spans="2:11" x14ac:dyDescent="0.15">
      <c r="B42" s="139" t="s">
        <v>481</v>
      </c>
      <c r="C42" s="140">
        <v>0</v>
      </c>
      <c r="D42" s="140">
        <v>0</v>
      </c>
      <c r="E42" s="191">
        <v>0</v>
      </c>
      <c r="F42" s="140">
        <v>1</v>
      </c>
      <c r="G42" s="140">
        <v>0.1</v>
      </c>
      <c r="H42" s="140">
        <v>-0.1</v>
      </c>
      <c r="I42" s="140">
        <v>0</v>
      </c>
      <c r="J42" s="140">
        <v>-0.1</v>
      </c>
      <c r="K42" s="140">
        <v>0.5</v>
      </c>
    </row>
    <row r="43" spans="2:11" s="164" customFormat="1" ht="11" x14ac:dyDescent="0.15">
      <c r="B43" s="164" t="s">
        <v>480</v>
      </c>
      <c r="C43" s="165"/>
      <c r="D43" s="165"/>
      <c r="E43" s="199">
        <v>0</v>
      </c>
      <c r="F43" s="198">
        <v>1.7999999999999999E-2</v>
      </c>
      <c r="G43" s="198">
        <v>5.0000000000000001E-3</v>
      </c>
      <c r="H43" s="198">
        <v>-6.0000000000000001E-3</v>
      </c>
      <c r="I43" s="198">
        <v>-2E-3</v>
      </c>
      <c r="J43" s="198">
        <v>-2E-3</v>
      </c>
      <c r="K43" s="198">
        <v>7.0000000000000001E-3</v>
      </c>
    </row>
    <row r="44" spans="2:11" x14ac:dyDescent="0.15">
      <c r="B44" s="139" t="s">
        <v>479</v>
      </c>
      <c r="C44" s="140">
        <v>0</v>
      </c>
      <c r="D44" s="140">
        <v>0</v>
      </c>
      <c r="E44" s="191">
        <v>0</v>
      </c>
      <c r="F44" s="140">
        <v>20</v>
      </c>
      <c r="G44" s="140">
        <v>19.600000000000001</v>
      </c>
      <c r="H44" s="140">
        <v>18</v>
      </c>
      <c r="I44" s="140">
        <v>15.9</v>
      </c>
      <c r="J44" s="140">
        <v>12.4</v>
      </c>
      <c r="K44" s="140">
        <v>9.3000000000000007</v>
      </c>
    </row>
    <row r="45" spans="2:11" s="152" customFormat="1" ht="12" thickBot="1" x14ac:dyDescent="0.2">
      <c r="B45" s="209" t="s">
        <v>478</v>
      </c>
      <c r="C45" s="195"/>
      <c r="D45" s="195"/>
      <c r="E45" s="216">
        <v>0</v>
      </c>
      <c r="F45" s="213">
        <v>5.5E-2</v>
      </c>
      <c r="G45" s="213">
        <v>6.3E-2</v>
      </c>
      <c r="H45" s="213">
        <v>6.3E-2</v>
      </c>
      <c r="I45" s="213">
        <v>6.2E-2</v>
      </c>
      <c r="J45" s="213">
        <v>6.2E-2</v>
      </c>
      <c r="K45" s="213">
        <v>5.7000000000000002E-2</v>
      </c>
    </row>
    <row r="46" spans="2:11" s="148" customFormat="1" x14ac:dyDescent="0.15">
      <c r="B46" s="148" t="s">
        <v>477</v>
      </c>
      <c r="C46" s="149">
        <f>C38-C42-C44</f>
        <v>32.6</v>
      </c>
      <c r="D46" s="149">
        <f t="shared" ref="D46:K46" si="19">D38-D42-D44</f>
        <v>48.5</v>
      </c>
      <c r="E46" s="215">
        <f t="shared" si="19"/>
        <v>57.4</v>
      </c>
      <c r="F46" s="149">
        <f t="shared" si="19"/>
        <v>5.8000000000000007</v>
      </c>
      <c r="G46" s="149">
        <f t="shared" si="19"/>
        <v>21.199999999999989</v>
      </c>
      <c r="H46" s="171">
        <f t="shared" si="19"/>
        <v>36.999999999999993</v>
      </c>
      <c r="I46" s="149">
        <f t="shared" si="19"/>
        <v>47.699999999999996</v>
      </c>
      <c r="J46" s="171">
        <f t="shared" si="19"/>
        <v>62.999999999999993</v>
      </c>
      <c r="K46" s="149">
        <f t="shared" si="19"/>
        <v>72.5</v>
      </c>
    </row>
    <row r="47" spans="2:11" x14ac:dyDescent="0.15">
      <c r="E47" s="191"/>
    </row>
    <row r="48" spans="2:11" ht="14" thickBot="1" x14ac:dyDescent="0.2">
      <c r="B48" s="156" t="s">
        <v>476</v>
      </c>
      <c r="C48" s="157">
        <v>0</v>
      </c>
      <c r="D48" s="157">
        <v>0</v>
      </c>
      <c r="E48" s="193">
        <v>0</v>
      </c>
      <c r="F48" s="157">
        <v>-9.4</v>
      </c>
      <c r="G48" s="157">
        <v>0</v>
      </c>
      <c r="H48" s="157">
        <v>0</v>
      </c>
      <c r="I48" s="157">
        <v>0</v>
      </c>
      <c r="J48" s="157">
        <v>0</v>
      </c>
      <c r="K48" s="157">
        <v>0</v>
      </c>
    </row>
    <row r="49" spans="2:11" s="148" customFormat="1" x14ac:dyDescent="0.15">
      <c r="B49" s="148" t="s">
        <v>410</v>
      </c>
      <c r="C49" s="171">
        <f>C46-C48</f>
        <v>32.6</v>
      </c>
      <c r="D49" s="171">
        <f t="shared" ref="D49:K49" si="20">D46-D48</f>
        <v>48.5</v>
      </c>
      <c r="E49" s="217">
        <f t="shared" si="20"/>
        <v>57.4</v>
      </c>
      <c r="F49" s="171">
        <f t="shared" si="20"/>
        <v>15.200000000000001</v>
      </c>
      <c r="G49" s="171">
        <f t="shared" si="20"/>
        <v>21.199999999999989</v>
      </c>
      <c r="H49" s="171">
        <f t="shared" si="20"/>
        <v>36.999999999999993</v>
      </c>
      <c r="I49" s="171">
        <f t="shared" si="20"/>
        <v>47.699999999999996</v>
      </c>
      <c r="J49" s="171">
        <f t="shared" si="20"/>
        <v>62.999999999999993</v>
      </c>
      <c r="K49" s="171">
        <f t="shared" si="20"/>
        <v>72.5</v>
      </c>
    </row>
    <row r="50" spans="2:11" x14ac:dyDescent="0.15">
      <c r="E50" s="191"/>
    </row>
    <row r="51" spans="2:11" x14ac:dyDescent="0.15">
      <c r="B51" s="139" t="s">
        <v>475</v>
      </c>
      <c r="C51" s="140">
        <v>0</v>
      </c>
      <c r="D51" s="140">
        <v>0</v>
      </c>
      <c r="E51" s="191">
        <v>0</v>
      </c>
      <c r="F51" s="140">
        <v>6</v>
      </c>
      <c r="G51" s="140">
        <v>9.6</v>
      </c>
      <c r="H51" s="140">
        <v>13.5</v>
      </c>
      <c r="I51" s="140">
        <v>16.2</v>
      </c>
      <c r="J51" s="140">
        <v>20</v>
      </c>
      <c r="K51" s="140">
        <v>22.5</v>
      </c>
    </row>
    <row r="52" spans="2:11" s="164" customFormat="1" ht="11" x14ac:dyDescent="0.15">
      <c r="B52" s="164" t="s">
        <v>474</v>
      </c>
      <c r="C52" s="198">
        <v>0</v>
      </c>
      <c r="D52" s="198">
        <v>0</v>
      </c>
      <c r="E52" s="199">
        <v>0</v>
      </c>
      <c r="F52" s="198">
        <v>0.21299999999999999</v>
      </c>
      <c r="G52" s="198">
        <v>0.188</v>
      </c>
      <c r="H52" s="198">
        <v>0.20300000000000001</v>
      </c>
      <c r="I52" s="198">
        <v>0.21</v>
      </c>
      <c r="J52" s="198">
        <v>0.216</v>
      </c>
      <c r="K52" s="198">
        <v>0.218</v>
      </c>
    </row>
    <row r="53" spans="2:11" x14ac:dyDescent="0.15">
      <c r="B53" s="139" t="s">
        <v>446</v>
      </c>
      <c r="C53" s="140">
        <v>0</v>
      </c>
      <c r="D53" s="140">
        <v>0</v>
      </c>
      <c r="E53" s="191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</row>
    <row r="54" spans="2:11" s="152" customFormat="1" ht="12" thickBot="1" x14ac:dyDescent="0.2">
      <c r="B54" s="209" t="s">
        <v>473</v>
      </c>
      <c r="C54" s="213">
        <v>0</v>
      </c>
      <c r="D54" s="213">
        <v>0</v>
      </c>
      <c r="E54" s="216">
        <v>0</v>
      </c>
      <c r="F54" s="213">
        <v>0</v>
      </c>
      <c r="G54" s="213">
        <v>0</v>
      </c>
      <c r="H54" s="213">
        <v>0</v>
      </c>
      <c r="I54" s="213">
        <v>0</v>
      </c>
      <c r="J54" s="213">
        <v>0</v>
      </c>
      <c r="K54" s="213">
        <v>0</v>
      </c>
    </row>
    <row r="55" spans="2:11" s="148" customFormat="1" x14ac:dyDescent="0.15">
      <c r="B55" s="148" t="s">
        <v>472</v>
      </c>
      <c r="C55" s="171">
        <f>C49-C51-C53</f>
        <v>32.6</v>
      </c>
      <c r="D55" s="171">
        <f t="shared" ref="D55:K55" si="21">D49-D51-D53</f>
        <v>48.5</v>
      </c>
      <c r="E55" s="217">
        <f t="shared" si="21"/>
        <v>57.4</v>
      </c>
      <c r="F55" s="171">
        <f t="shared" si="21"/>
        <v>9.2000000000000011</v>
      </c>
      <c r="G55" s="171">
        <f t="shared" si="21"/>
        <v>11.599999999999989</v>
      </c>
      <c r="H55" s="171">
        <f t="shared" si="21"/>
        <v>23.499999999999993</v>
      </c>
      <c r="I55" s="171">
        <f t="shared" si="21"/>
        <v>31.499999999999996</v>
      </c>
      <c r="J55" s="171">
        <f t="shared" si="21"/>
        <v>42.999999999999993</v>
      </c>
      <c r="K55" s="171">
        <f t="shared" si="21"/>
        <v>50</v>
      </c>
    </row>
    <row r="56" spans="2:11" s="152" customFormat="1" ht="11" x14ac:dyDescent="0.15">
      <c r="B56" s="164" t="s">
        <v>471</v>
      </c>
      <c r="C56" s="153"/>
      <c r="D56" s="198">
        <f>D55/C55-1</f>
        <v>0.4877300613496931</v>
      </c>
      <c r="E56" s="204">
        <f t="shared" ref="E56:K56" si="22">E55/D55-1</f>
        <v>0.18350515463917527</v>
      </c>
      <c r="F56" s="198">
        <f t="shared" si="22"/>
        <v>-0.83972125435540068</v>
      </c>
      <c r="G56" s="198">
        <f t="shared" si="22"/>
        <v>0.26086956521739002</v>
      </c>
      <c r="H56" s="198">
        <f t="shared" si="22"/>
        <v>1.0258620689655187</v>
      </c>
      <c r="I56" s="198">
        <f t="shared" si="22"/>
        <v>0.34042553191489389</v>
      </c>
      <c r="J56" s="198">
        <f t="shared" si="22"/>
        <v>0.36507936507936511</v>
      </c>
      <c r="K56" s="198">
        <f t="shared" si="22"/>
        <v>0.16279069767441889</v>
      </c>
    </row>
    <row r="57" spans="2:11" x14ac:dyDescent="0.15">
      <c r="B57" s="139" t="s">
        <v>470</v>
      </c>
      <c r="C57" s="140">
        <v>0</v>
      </c>
      <c r="D57" s="140">
        <v>0</v>
      </c>
      <c r="E57" s="191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</row>
    <row r="58" spans="2:11" s="152" customFormat="1" ht="11" x14ac:dyDescent="0.15">
      <c r="B58" s="218" t="s">
        <v>469</v>
      </c>
      <c r="C58" s="219">
        <v>0</v>
      </c>
      <c r="D58" s="219">
        <v>0</v>
      </c>
      <c r="E58" s="220">
        <v>0</v>
      </c>
      <c r="F58" s="219">
        <v>0</v>
      </c>
      <c r="G58" s="219">
        <v>0</v>
      </c>
      <c r="H58" s="219">
        <v>0</v>
      </c>
      <c r="I58" s="219">
        <v>0</v>
      </c>
      <c r="J58" s="219">
        <v>0</v>
      </c>
      <c r="K58" s="219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5"/>
  <sheetViews>
    <sheetView zoomScale="75" zoomScaleNormal="85" workbookViewId="0">
      <selection activeCell="L67" sqref="L67"/>
    </sheetView>
  </sheetViews>
  <sheetFormatPr baseColWidth="10" defaultColWidth="4.5703125" defaultRowHeight="16" x14ac:dyDescent="0.2"/>
  <cols>
    <col min="1" max="1" width="4.5703125" style="1"/>
    <col min="2" max="2" width="10.7109375" style="1" customWidth="1"/>
    <col min="3" max="3" width="25.7109375" style="1" bestFit="1" customWidth="1"/>
    <col min="4" max="4" width="13.140625" style="1" customWidth="1"/>
    <col min="5" max="5" width="30" style="1" customWidth="1"/>
    <col min="6" max="9" width="8.28515625" style="1" customWidth="1"/>
    <col min="10" max="16384" width="4.5703125" style="1"/>
  </cols>
  <sheetData>
    <row r="2" spans="2:9" x14ac:dyDescent="0.2">
      <c r="B2" s="3" t="s">
        <v>296</v>
      </c>
    </row>
    <row r="3" spans="2:9" x14ac:dyDescent="0.2">
      <c r="B3" s="70" t="s">
        <v>0</v>
      </c>
      <c r="C3" s="71" t="s">
        <v>1</v>
      </c>
      <c r="D3" s="71" t="s">
        <v>14</v>
      </c>
      <c r="E3" s="71" t="s">
        <v>361</v>
      </c>
      <c r="F3" s="72" t="s">
        <v>2</v>
      </c>
      <c r="G3" s="72" t="s">
        <v>15</v>
      </c>
      <c r="H3" s="72" t="s">
        <v>4</v>
      </c>
      <c r="I3" s="72" t="s">
        <v>5</v>
      </c>
    </row>
    <row r="4" spans="2:9" x14ac:dyDescent="0.2">
      <c r="B4" s="51"/>
      <c r="C4" s="52"/>
      <c r="D4" s="52"/>
      <c r="E4" s="52"/>
      <c r="F4" s="53" t="s">
        <v>112</v>
      </c>
      <c r="G4" s="74"/>
      <c r="H4" s="74"/>
      <c r="I4" s="74"/>
    </row>
    <row r="5" spans="2:9" x14ac:dyDescent="0.2">
      <c r="B5" s="61" t="s">
        <v>13</v>
      </c>
      <c r="C5" s="20"/>
      <c r="D5" s="20"/>
      <c r="E5" s="20"/>
      <c r="F5" s="21"/>
      <c r="G5" s="21"/>
      <c r="H5" s="21"/>
      <c r="I5" s="21"/>
    </row>
    <row r="6" spans="2:9" x14ac:dyDescent="0.2">
      <c r="B6" s="75" t="s">
        <v>326</v>
      </c>
      <c r="C6" s="20" t="s">
        <v>294</v>
      </c>
      <c r="D6" s="20" t="s">
        <v>6</v>
      </c>
      <c r="E6" s="20" t="s">
        <v>360</v>
      </c>
      <c r="F6" s="21">
        <v>11305</v>
      </c>
      <c r="G6" s="21" t="s">
        <v>323</v>
      </c>
      <c r="H6" s="21" t="s">
        <v>297</v>
      </c>
      <c r="I6" s="21" t="s">
        <v>323</v>
      </c>
    </row>
    <row r="7" spans="2:9" x14ac:dyDescent="0.2">
      <c r="B7" s="22" t="s">
        <v>16</v>
      </c>
      <c r="C7" s="20" t="s">
        <v>294</v>
      </c>
      <c r="D7" s="20" t="s">
        <v>358</v>
      </c>
      <c r="E7" s="20" t="s">
        <v>360</v>
      </c>
      <c r="F7" s="57">
        <v>972</v>
      </c>
      <c r="G7" s="57" t="s">
        <v>158</v>
      </c>
      <c r="H7" s="57" t="s">
        <v>298</v>
      </c>
      <c r="I7" s="57" t="s">
        <v>299</v>
      </c>
    </row>
    <row r="8" spans="2:9" x14ac:dyDescent="0.2">
      <c r="B8" s="22" t="s">
        <v>16</v>
      </c>
      <c r="C8" s="20" t="s">
        <v>294</v>
      </c>
      <c r="D8" s="20" t="s">
        <v>359</v>
      </c>
      <c r="E8" s="20" t="s">
        <v>360</v>
      </c>
      <c r="F8" s="57">
        <v>862</v>
      </c>
      <c r="G8" s="57" t="s">
        <v>159</v>
      </c>
      <c r="H8" s="57" t="s">
        <v>300</v>
      </c>
      <c r="I8" s="57" t="s">
        <v>284</v>
      </c>
    </row>
    <row r="9" spans="2:9" x14ac:dyDescent="0.2">
      <c r="B9" s="75" t="s">
        <v>325</v>
      </c>
      <c r="C9" s="20" t="s">
        <v>294</v>
      </c>
      <c r="D9" s="20" t="s">
        <v>358</v>
      </c>
      <c r="E9" s="20" t="s">
        <v>360</v>
      </c>
      <c r="F9" s="57">
        <v>105</v>
      </c>
      <c r="G9" s="57" t="s">
        <v>247</v>
      </c>
      <c r="H9" s="57" t="s">
        <v>168</v>
      </c>
      <c r="I9" s="57" t="s">
        <v>189</v>
      </c>
    </row>
    <row r="10" spans="2:9" x14ac:dyDescent="0.2">
      <c r="B10" s="75" t="s">
        <v>324</v>
      </c>
      <c r="C10" s="20" t="s">
        <v>294</v>
      </c>
      <c r="D10" s="20" t="s">
        <v>358</v>
      </c>
      <c r="E10" s="20" t="s">
        <v>360</v>
      </c>
      <c r="F10" s="57">
        <v>750</v>
      </c>
      <c r="G10" s="57" t="s">
        <v>247</v>
      </c>
      <c r="H10" s="57" t="s">
        <v>164</v>
      </c>
      <c r="I10" s="57" t="s">
        <v>17</v>
      </c>
    </row>
    <row r="11" spans="2:9" x14ac:dyDescent="0.2">
      <c r="B11" s="22" t="s">
        <v>323</v>
      </c>
      <c r="C11" s="20" t="s">
        <v>294</v>
      </c>
      <c r="D11" s="20" t="s">
        <v>359</v>
      </c>
      <c r="E11" s="20" t="s">
        <v>360</v>
      </c>
      <c r="F11" s="57" t="s">
        <v>323</v>
      </c>
      <c r="G11" s="57" t="s">
        <v>17</v>
      </c>
      <c r="H11" s="57" t="s">
        <v>289</v>
      </c>
      <c r="I11" s="57" t="s">
        <v>17</v>
      </c>
    </row>
    <row r="12" spans="2:9" x14ac:dyDescent="0.2">
      <c r="B12" s="22" t="s">
        <v>327</v>
      </c>
      <c r="C12" s="20" t="s">
        <v>294</v>
      </c>
      <c r="D12" s="20" t="s">
        <v>7</v>
      </c>
      <c r="E12" s="20" t="s">
        <v>360</v>
      </c>
      <c r="F12" s="57">
        <v>1487</v>
      </c>
      <c r="G12" s="57" t="s">
        <v>182</v>
      </c>
      <c r="H12" s="57" t="s">
        <v>301</v>
      </c>
      <c r="I12" s="57" t="s">
        <v>302</v>
      </c>
    </row>
    <row r="13" spans="2:9" x14ac:dyDescent="0.2">
      <c r="B13" s="22" t="s">
        <v>328</v>
      </c>
      <c r="C13" s="20" t="s">
        <v>294</v>
      </c>
      <c r="D13" s="20" t="s">
        <v>18</v>
      </c>
      <c r="E13" s="20" t="s">
        <v>360</v>
      </c>
      <c r="F13" s="57">
        <v>78</v>
      </c>
      <c r="G13" s="57" t="s">
        <v>161</v>
      </c>
      <c r="H13" s="57" t="s">
        <v>240</v>
      </c>
      <c r="I13" s="57" t="s">
        <v>19</v>
      </c>
    </row>
    <row r="14" spans="2:9" x14ac:dyDescent="0.2">
      <c r="B14" s="22" t="s">
        <v>329</v>
      </c>
      <c r="C14" s="20" t="s">
        <v>294</v>
      </c>
      <c r="D14" s="20" t="s">
        <v>359</v>
      </c>
      <c r="E14" s="20" t="s">
        <v>360</v>
      </c>
      <c r="F14" s="57">
        <v>268</v>
      </c>
      <c r="G14" s="57" t="s">
        <v>256</v>
      </c>
      <c r="H14" s="57" t="s">
        <v>303</v>
      </c>
      <c r="I14" s="57" t="s">
        <v>162</v>
      </c>
    </row>
    <row r="15" spans="2:9" x14ac:dyDescent="0.2">
      <c r="B15" s="22" t="s">
        <v>330</v>
      </c>
      <c r="C15" s="20" t="s">
        <v>294</v>
      </c>
      <c r="D15" s="20" t="s">
        <v>8</v>
      </c>
      <c r="E15" s="20" t="s">
        <v>360</v>
      </c>
      <c r="F15" s="57">
        <v>277</v>
      </c>
      <c r="G15" s="57" t="s">
        <v>171</v>
      </c>
      <c r="H15" s="57" t="s">
        <v>235</v>
      </c>
      <c r="I15" s="57" t="s">
        <v>304</v>
      </c>
    </row>
    <row r="16" spans="2:9" x14ac:dyDescent="0.2">
      <c r="B16" s="22" t="s">
        <v>336</v>
      </c>
      <c r="C16" s="20" t="s">
        <v>294</v>
      </c>
      <c r="D16" s="20" t="s">
        <v>8</v>
      </c>
      <c r="E16" s="20" t="s">
        <v>360</v>
      </c>
      <c r="F16" s="57">
        <v>148</v>
      </c>
      <c r="G16" s="57" t="s">
        <v>201</v>
      </c>
      <c r="H16" s="57" t="s">
        <v>271</v>
      </c>
      <c r="I16" s="57" t="s">
        <v>278</v>
      </c>
    </row>
    <row r="17" spans="2:9" x14ac:dyDescent="0.2">
      <c r="B17" s="22" t="s">
        <v>337</v>
      </c>
      <c r="C17" s="20" t="s">
        <v>294</v>
      </c>
      <c r="D17" s="20" t="s">
        <v>8</v>
      </c>
      <c r="E17" s="20" t="s">
        <v>360</v>
      </c>
      <c r="F17" s="57">
        <v>3971</v>
      </c>
      <c r="G17" s="57" t="s">
        <v>207</v>
      </c>
      <c r="H17" s="57" t="s">
        <v>191</v>
      </c>
      <c r="I17" s="57" t="s">
        <v>305</v>
      </c>
    </row>
    <row r="18" spans="2:9" x14ac:dyDescent="0.2">
      <c r="B18" s="75">
        <v>43675</v>
      </c>
      <c r="C18" s="20" t="s">
        <v>294</v>
      </c>
      <c r="D18" s="20" t="s">
        <v>18</v>
      </c>
      <c r="E18" s="20" t="s">
        <v>360</v>
      </c>
      <c r="F18" s="57">
        <v>170</v>
      </c>
      <c r="G18" s="57" t="s">
        <v>158</v>
      </c>
      <c r="H18" s="57" t="s">
        <v>19</v>
      </c>
      <c r="I18" s="57" t="s">
        <v>19</v>
      </c>
    </row>
    <row r="19" spans="2:9" x14ac:dyDescent="0.2">
      <c r="B19" s="22" t="s">
        <v>338</v>
      </c>
      <c r="C19" s="20" t="s">
        <v>294</v>
      </c>
      <c r="D19" s="20" t="s">
        <v>8</v>
      </c>
      <c r="E19" s="20" t="s">
        <v>360</v>
      </c>
      <c r="F19" s="57">
        <v>238</v>
      </c>
      <c r="G19" s="57" t="s">
        <v>224</v>
      </c>
      <c r="H19" s="57" t="s">
        <v>306</v>
      </c>
      <c r="I19" s="57" t="s">
        <v>307</v>
      </c>
    </row>
    <row r="20" spans="2:9" x14ac:dyDescent="0.2">
      <c r="B20" s="22" t="s">
        <v>339</v>
      </c>
      <c r="C20" s="20" t="s">
        <v>294</v>
      </c>
      <c r="D20" s="20" t="s">
        <v>18</v>
      </c>
      <c r="E20" s="20" t="s">
        <v>360</v>
      </c>
      <c r="F20" s="57">
        <v>39</v>
      </c>
      <c r="G20" s="57" t="s">
        <v>161</v>
      </c>
      <c r="H20" s="57" t="s">
        <v>165</v>
      </c>
      <c r="I20" s="57" t="s">
        <v>216</v>
      </c>
    </row>
    <row r="21" spans="2:9" x14ac:dyDescent="0.2">
      <c r="B21" s="22" t="s">
        <v>343</v>
      </c>
      <c r="C21" s="20" t="s">
        <v>294</v>
      </c>
      <c r="D21" s="20" t="s">
        <v>359</v>
      </c>
      <c r="E21" s="20" t="s">
        <v>360</v>
      </c>
      <c r="F21" s="57">
        <v>57</v>
      </c>
      <c r="G21" s="57" t="s">
        <v>161</v>
      </c>
      <c r="H21" s="57" t="s">
        <v>308</v>
      </c>
      <c r="I21" s="57" t="s">
        <v>309</v>
      </c>
    </row>
    <row r="22" spans="2:9" x14ac:dyDescent="0.2">
      <c r="B22" s="22" t="s">
        <v>344</v>
      </c>
      <c r="C22" s="20" t="s">
        <v>294</v>
      </c>
      <c r="D22" s="20" t="s">
        <v>8</v>
      </c>
      <c r="E22" s="20" t="s">
        <v>360</v>
      </c>
      <c r="F22" s="57">
        <v>179</v>
      </c>
      <c r="G22" s="57" t="s">
        <v>247</v>
      </c>
      <c r="H22" s="57" t="s">
        <v>195</v>
      </c>
      <c r="I22" s="57" t="s">
        <v>310</v>
      </c>
    </row>
    <row r="23" spans="2:9" x14ac:dyDescent="0.2">
      <c r="B23" s="22" t="s">
        <v>345</v>
      </c>
      <c r="C23" s="20" t="s">
        <v>294</v>
      </c>
      <c r="D23" s="20" t="s">
        <v>358</v>
      </c>
      <c r="E23" s="20" t="s">
        <v>360</v>
      </c>
      <c r="F23" s="57">
        <v>262</v>
      </c>
      <c r="G23" s="57" t="s">
        <v>253</v>
      </c>
      <c r="H23" s="57" t="s">
        <v>232</v>
      </c>
      <c r="I23" s="57" t="s">
        <v>311</v>
      </c>
    </row>
    <row r="24" spans="2:9" x14ac:dyDescent="0.2">
      <c r="B24" s="22" t="s">
        <v>346</v>
      </c>
      <c r="C24" s="20" t="s">
        <v>294</v>
      </c>
      <c r="D24" s="20" t="s">
        <v>18</v>
      </c>
      <c r="E24" s="20" t="s">
        <v>360</v>
      </c>
      <c r="F24" s="57">
        <v>186</v>
      </c>
      <c r="G24" s="57" t="s">
        <v>172</v>
      </c>
      <c r="H24" s="57" t="s">
        <v>240</v>
      </c>
      <c r="I24" s="57" t="s">
        <v>208</v>
      </c>
    </row>
    <row r="25" spans="2:9" x14ac:dyDescent="0.2">
      <c r="B25" s="22" t="s">
        <v>347</v>
      </c>
      <c r="C25" s="20" t="s">
        <v>294</v>
      </c>
      <c r="D25" s="20" t="s">
        <v>18</v>
      </c>
      <c r="E25" s="20" t="s">
        <v>360</v>
      </c>
      <c r="F25" s="66">
        <v>101</v>
      </c>
      <c r="G25" s="57" t="s">
        <v>161</v>
      </c>
      <c r="H25" s="57" t="s">
        <v>175</v>
      </c>
      <c r="I25" s="57" t="s">
        <v>174</v>
      </c>
    </row>
    <row r="26" spans="2:9" x14ac:dyDescent="0.2">
      <c r="B26" s="22" t="s">
        <v>350</v>
      </c>
      <c r="C26" s="20" t="s">
        <v>294</v>
      </c>
      <c r="D26" s="20" t="s">
        <v>8</v>
      </c>
      <c r="E26" s="20" t="s">
        <v>360</v>
      </c>
      <c r="F26" s="57">
        <v>437</v>
      </c>
      <c r="G26" s="57" t="s">
        <v>225</v>
      </c>
      <c r="H26" s="57" t="s">
        <v>240</v>
      </c>
      <c r="I26" s="57" t="s">
        <v>305</v>
      </c>
    </row>
    <row r="27" spans="2:9" x14ac:dyDescent="0.2">
      <c r="B27" s="22" t="s">
        <v>351</v>
      </c>
      <c r="C27" s="20" t="s">
        <v>294</v>
      </c>
      <c r="D27" s="20" t="s">
        <v>18</v>
      </c>
      <c r="E27" s="20" t="s">
        <v>360</v>
      </c>
      <c r="F27" s="57">
        <v>88</v>
      </c>
      <c r="G27" s="57" t="s">
        <v>160</v>
      </c>
      <c r="H27" s="57" t="s">
        <v>176</v>
      </c>
      <c r="I27" s="57" t="s">
        <v>196</v>
      </c>
    </row>
    <row r="28" spans="2:9" x14ac:dyDescent="0.2">
      <c r="B28" s="22" t="s">
        <v>353</v>
      </c>
      <c r="C28" s="20" t="s">
        <v>294</v>
      </c>
      <c r="D28" s="20" t="s">
        <v>18</v>
      </c>
      <c r="E28" s="20" t="s">
        <v>360</v>
      </c>
      <c r="F28" s="57">
        <v>106</v>
      </c>
      <c r="G28" s="57" t="s">
        <v>201</v>
      </c>
      <c r="H28" s="57" t="s">
        <v>19</v>
      </c>
      <c r="I28" s="57" t="s">
        <v>312</v>
      </c>
    </row>
    <row r="29" spans="2:9" x14ac:dyDescent="0.2">
      <c r="B29" s="22" t="s">
        <v>354</v>
      </c>
      <c r="C29" s="20" t="s">
        <v>294</v>
      </c>
      <c r="D29" s="20" t="s">
        <v>18</v>
      </c>
      <c r="E29" s="20" t="s">
        <v>360</v>
      </c>
      <c r="F29" s="66">
        <v>12</v>
      </c>
      <c r="G29" s="57" t="s">
        <v>201</v>
      </c>
      <c r="H29" s="57" t="s">
        <v>277</v>
      </c>
      <c r="I29" s="57" t="s">
        <v>218</v>
      </c>
    </row>
    <row r="30" spans="2:9" x14ac:dyDescent="0.2">
      <c r="B30" s="22" t="s">
        <v>355</v>
      </c>
      <c r="C30" s="20" t="s">
        <v>294</v>
      </c>
      <c r="D30" s="20" t="s">
        <v>359</v>
      </c>
      <c r="E30" s="20" t="s">
        <v>360</v>
      </c>
      <c r="F30" s="57">
        <v>102</v>
      </c>
      <c r="G30" s="57" t="s">
        <v>247</v>
      </c>
      <c r="H30" s="57" t="s">
        <v>271</v>
      </c>
      <c r="I30" s="57" t="s">
        <v>313</v>
      </c>
    </row>
    <row r="31" spans="2:9" s="3" customFormat="1" x14ac:dyDescent="0.2">
      <c r="B31" s="58" t="s">
        <v>11</v>
      </c>
      <c r="C31" s="54"/>
      <c r="D31" s="54"/>
      <c r="E31" s="54"/>
      <c r="F31" s="73">
        <f>AVERAGE(F6:F30)</f>
        <v>925</v>
      </c>
      <c r="G31" s="60" t="s">
        <v>161</v>
      </c>
      <c r="H31" s="60" t="s">
        <v>195</v>
      </c>
      <c r="I31" s="60" t="s">
        <v>285</v>
      </c>
    </row>
    <row r="32" spans="2:9" s="3" customFormat="1" x14ac:dyDescent="0.2">
      <c r="B32" s="58" t="s">
        <v>12</v>
      </c>
      <c r="C32" s="54"/>
      <c r="D32" s="54"/>
      <c r="E32" s="54"/>
      <c r="F32" s="73">
        <f>MEDIAN(F6:F30)</f>
        <v>182.5</v>
      </c>
      <c r="G32" s="60" t="s">
        <v>171</v>
      </c>
      <c r="H32" s="60" t="s">
        <v>279</v>
      </c>
      <c r="I32" s="60" t="s">
        <v>314</v>
      </c>
    </row>
    <row r="33" spans="2:9" s="3" customFormat="1" x14ac:dyDescent="0.2">
      <c r="B33" s="2"/>
      <c r="C33" s="4"/>
      <c r="D33" s="4"/>
      <c r="E33" s="4"/>
      <c r="F33" s="5"/>
      <c r="G33" s="5"/>
      <c r="H33" s="5"/>
      <c r="I33" s="5"/>
    </row>
    <row r="34" spans="2:9" x14ac:dyDescent="0.2">
      <c r="B34" s="61" t="s">
        <v>20</v>
      </c>
      <c r="C34" s="20"/>
      <c r="D34" s="20"/>
      <c r="E34" s="20"/>
      <c r="F34" s="65"/>
      <c r="G34" s="65"/>
      <c r="H34" s="65"/>
      <c r="I34" s="65"/>
    </row>
    <row r="35" spans="2:9" x14ac:dyDescent="0.2">
      <c r="B35" s="75" t="s">
        <v>357</v>
      </c>
      <c r="C35" s="20" t="s">
        <v>21</v>
      </c>
      <c r="D35" s="20" t="s">
        <v>10</v>
      </c>
      <c r="E35" s="20" t="s">
        <v>360</v>
      </c>
      <c r="F35" s="57">
        <v>267</v>
      </c>
      <c r="G35" s="57" t="s">
        <v>158</v>
      </c>
      <c r="H35" s="57" t="s">
        <v>212</v>
      </c>
      <c r="I35" s="57" t="s">
        <v>303</v>
      </c>
    </row>
    <row r="36" spans="2:9" x14ac:dyDescent="0.2">
      <c r="B36" s="22" t="s">
        <v>331</v>
      </c>
      <c r="C36" s="20" t="s">
        <v>22</v>
      </c>
      <c r="D36" s="20" t="s">
        <v>8</v>
      </c>
      <c r="E36" s="20" t="s">
        <v>360</v>
      </c>
      <c r="F36" s="57">
        <v>782</v>
      </c>
      <c r="G36" s="57" t="s">
        <v>247</v>
      </c>
      <c r="H36" s="57" t="s">
        <v>257</v>
      </c>
      <c r="I36" s="57" t="s">
        <v>194</v>
      </c>
    </row>
    <row r="37" spans="2:9" x14ac:dyDescent="0.2">
      <c r="B37" s="22" t="s">
        <v>332</v>
      </c>
      <c r="C37" s="20" t="s">
        <v>23</v>
      </c>
      <c r="D37" s="20" t="s">
        <v>7</v>
      </c>
      <c r="E37" s="20" t="s">
        <v>360</v>
      </c>
      <c r="F37" s="57">
        <v>15</v>
      </c>
      <c r="G37" s="57" t="s">
        <v>225</v>
      </c>
      <c r="H37" s="57" t="s">
        <v>232</v>
      </c>
      <c r="I37" s="57" t="s">
        <v>218</v>
      </c>
    </row>
    <row r="38" spans="2:9" x14ac:dyDescent="0.2">
      <c r="B38" s="22" t="s">
        <v>340</v>
      </c>
      <c r="C38" s="20" t="s">
        <v>24</v>
      </c>
      <c r="D38" s="20" t="s">
        <v>18</v>
      </c>
      <c r="E38" s="20" t="s">
        <v>360</v>
      </c>
      <c r="F38" s="57">
        <v>116</v>
      </c>
      <c r="G38" s="57" t="s">
        <v>207</v>
      </c>
      <c r="H38" s="57" t="s">
        <v>315</v>
      </c>
      <c r="I38" s="57" t="s">
        <v>316</v>
      </c>
    </row>
    <row r="39" spans="2:9" x14ac:dyDescent="0.2">
      <c r="B39" s="75">
        <v>43355</v>
      </c>
      <c r="C39" s="20" t="s">
        <v>25</v>
      </c>
      <c r="D39" s="20" t="s">
        <v>9</v>
      </c>
      <c r="E39" s="20" t="s">
        <v>360</v>
      </c>
      <c r="F39" s="57">
        <v>38</v>
      </c>
      <c r="G39" s="57" t="s">
        <v>224</v>
      </c>
      <c r="H39" s="57" t="s">
        <v>232</v>
      </c>
      <c r="I39" s="57" t="s">
        <v>215</v>
      </c>
    </row>
    <row r="40" spans="2:9" x14ac:dyDescent="0.2">
      <c r="B40" s="22" t="s">
        <v>348</v>
      </c>
      <c r="C40" s="20" t="s">
        <v>26</v>
      </c>
      <c r="D40" s="20" t="s">
        <v>18</v>
      </c>
      <c r="E40" s="20" t="s">
        <v>360</v>
      </c>
      <c r="F40" s="57">
        <v>51</v>
      </c>
      <c r="G40" s="57" t="s">
        <v>170</v>
      </c>
      <c r="H40" s="57" t="s">
        <v>317</v>
      </c>
      <c r="I40" s="57" t="s">
        <v>318</v>
      </c>
    </row>
    <row r="41" spans="2:9" x14ac:dyDescent="0.2">
      <c r="B41" s="22" t="s">
        <v>349</v>
      </c>
      <c r="C41" s="20" t="s">
        <v>27</v>
      </c>
      <c r="D41" s="20" t="s">
        <v>18</v>
      </c>
      <c r="E41" s="20" t="s">
        <v>360</v>
      </c>
      <c r="F41" s="57">
        <v>157</v>
      </c>
      <c r="G41" s="57" t="s">
        <v>247</v>
      </c>
      <c r="H41" s="57" t="s">
        <v>319</v>
      </c>
      <c r="I41" s="57" t="s">
        <v>231</v>
      </c>
    </row>
    <row r="42" spans="2:9" x14ac:dyDescent="0.2">
      <c r="B42" s="22" t="s">
        <v>352</v>
      </c>
      <c r="C42" s="20" t="s">
        <v>28</v>
      </c>
      <c r="D42" s="20" t="s">
        <v>8</v>
      </c>
      <c r="E42" s="20" t="s">
        <v>360</v>
      </c>
      <c r="F42" s="57">
        <v>84</v>
      </c>
      <c r="G42" s="57" t="s">
        <v>201</v>
      </c>
      <c r="H42" s="57" t="s">
        <v>19</v>
      </c>
      <c r="I42" s="57" t="s">
        <v>19</v>
      </c>
    </row>
    <row r="43" spans="2:9" s="3" customFormat="1" x14ac:dyDescent="0.2">
      <c r="B43" s="58" t="s">
        <v>29</v>
      </c>
      <c r="C43" s="54"/>
      <c r="D43" s="54"/>
      <c r="E43" s="54"/>
      <c r="F43" s="73">
        <f>AVERAGE(F35:F42)</f>
        <v>188.75</v>
      </c>
      <c r="G43" s="60" t="s">
        <v>172</v>
      </c>
      <c r="H43" s="60" t="s">
        <v>227</v>
      </c>
      <c r="I43" s="60" t="s">
        <v>209</v>
      </c>
    </row>
    <row r="44" spans="2:9" s="3" customFormat="1" x14ac:dyDescent="0.2">
      <c r="B44" s="58" t="s">
        <v>30</v>
      </c>
      <c r="C44" s="54"/>
      <c r="D44" s="54"/>
      <c r="E44" s="54"/>
      <c r="F44" s="73">
        <f>MEDIAN(F35:F42)</f>
        <v>100</v>
      </c>
      <c r="G44" s="60" t="s">
        <v>225</v>
      </c>
      <c r="H44" s="60" t="s">
        <v>319</v>
      </c>
      <c r="I44" s="60" t="s">
        <v>303</v>
      </c>
    </row>
    <row r="45" spans="2:9" s="3" customFormat="1" x14ac:dyDescent="0.2">
      <c r="B45" s="2"/>
      <c r="C45" s="4"/>
      <c r="D45" s="4"/>
      <c r="E45" s="4"/>
      <c r="F45" s="5"/>
      <c r="G45" s="5"/>
      <c r="H45" s="5"/>
      <c r="I45" s="5"/>
    </row>
    <row r="46" spans="2:9" x14ac:dyDescent="0.2">
      <c r="B46" s="61" t="s">
        <v>31</v>
      </c>
      <c r="C46" s="20"/>
      <c r="D46" s="20"/>
      <c r="E46" s="20"/>
      <c r="F46" s="21"/>
      <c r="G46" s="21"/>
      <c r="H46" s="21"/>
      <c r="I46" s="21"/>
    </row>
    <row r="47" spans="2:9" x14ac:dyDescent="0.2">
      <c r="B47" s="75" t="s">
        <v>356</v>
      </c>
      <c r="C47" s="20" t="s">
        <v>32</v>
      </c>
      <c r="D47" s="20" t="s">
        <v>10</v>
      </c>
      <c r="E47" s="20" t="s">
        <v>360</v>
      </c>
      <c r="F47" s="76">
        <v>498</v>
      </c>
      <c r="G47" s="21" t="s">
        <v>242</v>
      </c>
      <c r="H47" s="21" t="s">
        <v>302</v>
      </c>
      <c r="I47" s="21" t="s">
        <v>234</v>
      </c>
    </row>
    <row r="48" spans="2:9" x14ac:dyDescent="0.2">
      <c r="B48" s="22" t="s">
        <v>333</v>
      </c>
      <c r="C48" s="20" t="s">
        <v>33</v>
      </c>
      <c r="D48" s="77" t="s">
        <v>358</v>
      </c>
      <c r="E48" s="20" t="s">
        <v>360</v>
      </c>
      <c r="F48" s="21">
        <v>101</v>
      </c>
      <c r="G48" s="21" t="s">
        <v>158</v>
      </c>
      <c r="H48" s="21" t="s">
        <v>217</v>
      </c>
      <c r="I48" s="21" t="s">
        <v>284</v>
      </c>
    </row>
    <row r="49" spans="2:9" x14ac:dyDescent="0.2">
      <c r="B49" s="22" t="s">
        <v>334</v>
      </c>
      <c r="C49" s="20" t="s">
        <v>34</v>
      </c>
      <c r="D49" s="20" t="s">
        <v>7</v>
      </c>
      <c r="E49" s="20" t="s">
        <v>360</v>
      </c>
      <c r="F49" s="21">
        <v>124</v>
      </c>
      <c r="G49" s="21" t="s">
        <v>192</v>
      </c>
      <c r="H49" s="21" t="s">
        <v>320</v>
      </c>
      <c r="I49" s="21" t="s">
        <v>321</v>
      </c>
    </row>
    <row r="50" spans="2:9" x14ac:dyDescent="0.2">
      <c r="B50" s="22" t="s">
        <v>335</v>
      </c>
      <c r="C50" s="20" t="s">
        <v>35</v>
      </c>
      <c r="D50" s="20" t="s">
        <v>8</v>
      </c>
      <c r="E50" s="20" t="s">
        <v>360</v>
      </c>
      <c r="F50" s="21">
        <v>2785</v>
      </c>
      <c r="G50" s="21" t="s">
        <v>171</v>
      </c>
      <c r="H50" s="21" t="s">
        <v>185</v>
      </c>
      <c r="I50" s="21" t="s">
        <v>298</v>
      </c>
    </row>
    <row r="51" spans="2:9" x14ac:dyDescent="0.2">
      <c r="B51" s="22" t="s">
        <v>341</v>
      </c>
      <c r="C51" s="20" t="s">
        <v>36</v>
      </c>
      <c r="D51" s="20" t="s">
        <v>18</v>
      </c>
      <c r="E51" s="20" t="s">
        <v>360</v>
      </c>
      <c r="F51" s="21">
        <v>155</v>
      </c>
      <c r="G51" s="21" t="s">
        <v>206</v>
      </c>
      <c r="H51" s="21" t="s">
        <v>220</v>
      </c>
      <c r="I51" s="21" t="s">
        <v>301</v>
      </c>
    </row>
    <row r="52" spans="2:9" x14ac:dyDescent="0.2">
      <c r="B52" s="22" t="s">
        <v>342</v>
      </c>
      <c r="C52" s="20" t="s">
        <v>37</v>
      </c>
      <c r="D52" s="20" t="s">
        <v>359</v>
      </c>
      <c r="E52" s="20" t="s">
        <v>360</v>
      </c>
      <c r="F52" s="21">
        <v>201</v>
      </c>
      <c r="G52" s="21" t="s">
        <v>253</v>
      </c>
      <c r="H52" s="21" t="s">
        <v>215</v>
      </c>
      <c r="I52" s="21" t="s">
        <v>270</v>
      </c>
    </row>
    <row r="53" spans="2:9" x14ac:dyDescent="0.2">
      <c r="B53" s="22"/>
      <c r="C53" s="20"/>
      <c r="D53" s="20"/>
      <c r="E53" s="20"/>
      <c r="F53" s="21"/>
      <c r="G53" s="21"/>
      <c r="H53" s="21"/>
      <c r="I53" s="21"/>
    </row>
    <row r="54" spans="2:9" s="3" customFormat="1" x14ac:dyDescent="0.2">
      <c r="B54" s="58" t="s">
        <v>38</v>
      </c>
      <c r="C54" s="54"/>
      <c r="D54" s="54"/>
      <c r="E54" s="54"/>
      <c r="F54" s="73">
        <f>AVERAGE(F47:F52,F35:F42,F6:F30)</f>
        <v>725.63157894736844</v>
      </c>
      <c r="G54" s="60" t="s">
        <v>160</v>
      </c>
      <c r="H54" s="60" t="s">
        <v>322</v>
      </c>
      <c r="I54" s="60" t="s">
        <v>285</v>
      </c>
    </row>
    <row r="55" spans="2:9" s="3" customFormat="1" x14ac:dyDescent="0.2">
      <c r="B55" s="58" t="s">
        <v>39</v>
      </c>
      <c r="C55" s="54"/>
      <c r="D55" s="54"/>
      <c r="E55" s="54"/>
      <c r="F55" s="73">
        <f>MEDIAN(F47:F52,F35:F42,F6:F30)</f>
        <v>163.5</v>
      </c>
      <c r="G55" s="60" t="s">
        <v>171</v>
      </c>
      <c r="H55" s="60" t="s">
        <v>178</v>
      </c>
      <c r="I55" s="60" t="s">
        <v>314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8A4E-2B8D-5146-B259-AC41521B086F}">
  <dimension ref="B2:K51"/>
  <sheetViews>
    <sheetView zoomScale="94" zoomScaleNormal="100" workbookViewId="0">
      <selection activeCell="C2" sqref="C2:J3"/>
    </sheetView>
  </sheetViews>
  <sheetFormatPr baseColWidth="10" defaultColWidth="9.42578125" defaultRowHeight="13" x14ac:dyDescent="0.15"/>
  <cols>
    <col min="1" max="1" width="2.7109375" style="139" customWidth="1"/>
    <col min="2" max="2" width="24.5703125" style="139" customWidth="1"/>
    <col min="3" max="10" width="7.42578125" style="140" customWidth="1"/>
    <col min="11" max="16384" width="9.42578125" style="139"/>
  </cols>
  <sheetData>
    <row r="2" spans="2:10" ht="18" x14ac:dyDescent="0.2">
      <c r="B2" s="141" t="s">
        <v>467</v>
      </c>
      <c r="C2" s="140" t="s">
        <v>415</v>
      </c>
      <c r="D2" s="140" t="s">
        <v>414</v>
      </c>
      <c r="E2" s="140" t="s">
        <v>413</v>
      </c>
      <c r="F2" s="140" t="s">
        <v>412</v>
      </c>
      <c r="G2" s="140" t="s">
        <v>140</v>
      </c>
      <c r="H2" s="140" t="s">
        <v>139</v>
      </c>
      <c r="I2" s="140" t="s">
        <v>138</v>
      </c>
      <c r="J2" s="140" t="s">
        <v>141</v>
      </c>
    </row>
    <row r="3" spans="2:10" x14ac:dyDescent="0.15">
      <c r="B3" s="69" t="s">
        <v>112</v>
      </c>
      <c r="C3" s="37" t="s">
        <v>416</v>
      </c>
      <c r="D3" s="37" t="s">
        <v>417</v>
      </c>
      <c r="E3" s="37" t="s">
        <v>418</v>
      </c>
      <c r="F3" s="37" t="s">
        <v>419</v>
      </c>
      <c r="G3" s="37" t="s">
        <v>420</v>
      </c>
      <c r="H3" s="37" t="s">
        <v>421</v>
      </c>
      <c r="I3" s="37" t="s">
        <v>422</v>
      </c>
      <c r="J3" s="37" t="s">
        <v>145</v>
      </c>
    </row>
    <row r="4" spans="2:10" x14ac:dyDescent="0.15">
      <c r="B4" s="139" t="s">
        <v>466</v>
      </c>
      <c r="E4" s="140">
        <v>593.6</v>
      </c>
      <c r="F4" s="140">
        <v>564</v>
      </c>
      <c r="G4" s="140">
        <v>534.29999999999995</v>
      </c>
      <c r="H4" s="140">
        <v>504.6</v>
      </c>
      <c r="I4" s="140">
        <v>474.9</v>
      </c>
      <c r="J4" s="140">
        <v>445.2</v>
      </c>
    </row>
    <row r="5" spans="2:10" ht="14" thickBot="1" x14ac:dyDescent="0.2">
      <c r="B5" s="156" t="s">
        <v>465</v>
      </c>
      <c r="C5" s="157"/>
      <c r="D5" s="157"/>
      <c r="E5" s="157">
        <v>0.9</v>
      </c>
      <c r="F5" s="157">
        <v>1.8</v>
      </c>
      <c r="G5" s="157">
        <v>2.9</v>
      </c>
      <c r="H5" s="157">
        <v>4</v>
      </c>
      <c r="I5" s="157">
        <v>5.3</v>
      </c>
      <c r="J5" s="157">
        <v>6.7</v>
      </c>
    </row>
    <row r="6" spans="2:10" s="148" customFormat="1" x14ac:dyDescent="0.15">
      <c r="B6" s="148" t="s">
        <v>464</v>
      </c>
      <c r="C6" s="149"/>
      <c r="D6" s="149"/>
      <c r="E6" s="180">
        <f>SUM(E4:E5)</f>
        <v>594.5</v>
      </c>
      <c r="F6" s="180">
        <f t="shared" ref="F6:J6" si="0">SUM(F4:F5)</f>
        <v>565.79999999999995</v>
      </c>
      <c r="G6" s="180">
        <f t="shared" si="0"/>
        <v>537.19999999999993</v>
      </c>
      <c r="H6" s="180">
        <f t="shared" si="0"/>
        <v>508.6</v>
      </c>
      <c r="I6" s="180">
        <f t="shared" si="0"/>
        <v>480.2</v>
      </c>
      <c r="J6" s="180">
        <f t="shared" si="0"/>
        <v>451.9</v>
      </c>
    </row>
    <row r="7" spans="2:10" s="148" customFormat="1" x14ac:dyDescent="0.15">
      <c r="C7" s="149"/>
      <c r="D7" s="149"/>
      <c r="E7" s="179"/>
      <c r="F7" s="149"/>
      <c r="G7" s="149"/>
      <c r="H7" s="149"/>
      <c r="I7" s="149"/>
      <c r="J7" s="149"/>
    </row>
    <row r="8" spans="2:10" s="148" customFormat="1" x14ac:dyDescent="0.15">
      <c r="B8" s="148" t="s">
        <v>463</v>
      </c>
      <c r="C8" s="149"/>
      <c r="D8" s="149"/>
      <c r="E8" s="149">
        <v>27.7</v>
      </c>
      <c r="F8" s="149">
        <v>45.3</v>
      </c>
      <c r="G8" s="149">
        <v>62.5</v>
      </c>
      <c r="H8" s="149">
        <v>72.2</v>
      </c>
      <c r="I8" s="149">
        <v>74</v>
      </c>
      <c r="J8" s="149">
        <v>68.5</v>
      </c>
    </row>
    <row r="9" spans="2:10" s="148" customFormat="1" x14ac:dyDescent="0.15">
      <c r="C9" s="149"/>
      <c r="D9" s="149"/>
      <c r="E9" s="149"/>
      <c r="F9" s="149"/>
      <c r="G9" s="149"/>
      <c r="H9" s="149"/>
      <c r="I9" s="149"/>
      <c r="J9" s="149"/>
    </row>
    <row r="10" spans="2:10" x14ac:dyDescent="0.15">
      <c r="B10" s="139" t="s">
        <v>462</v>
      </c>
      <c r="E10" s="140">
        <v>0.1</v>
      </c>
      <c r="F10" s="140">
        <v>0.1</v>
      </c>
      <c r="G10" s="140">
        <v>0.1</v>
      </c>
      <c r="H10" s="140">
        <v>0.1</v>
      </c>
      <c r="I10" s="140">
        <v>0.1</v>
      </c>
      <c r="J10" s="140">
        <v>0.1</v>
      </c>
    </row>
    <row r="11" spans="2:10" ht="14" thickBot="1" x14ac:dyDescent="0.2">
      <c r="B11" s="156" t="s">
        <v>461</v>
      </c>
      <c r="C11" s="157"/>
      <c r="D11" s="157"/>
      <c r="E11" s="157">
        <v>4.4000000000000004</v>
      </c>
      <c r="F11" s="157">
        <v>4.4000000000000004</v>
      </c>
      <c r="G11" s="157">
        <v>4.4000000000000004</v>
      </c>
      <c r="H11" s="157">
        <v>4.4000000000000004</v>
      </c>
      <c r="I11" s="157">
        <v>4.4000000000000004</v>
      </c>
      <c r="J11" s="157">
        <v>4.4000000000000004</v>
      </c>
    </row>
    <row r="12" spans="2:10" s="148" customFormat="1" x14ac:dyDescent="0.15">
      <c r="B12" s="148" t="s">
        <v>460</v>
      </c>
      <c r="C12" s="149"/>
      <c r="D12" s="149"/>
      <c r="E12" s="149">
        <f>SUM(E10:E11)</f>
        <v>4.5</v>
      </c>
      <c r="F12" s="149">
        <f t="shared" ref="F12:J12" si="1">SUM(F10:F11)</f>
        <v>4.5</v>
      </c>
      <c r="G12" s="149">
        <f t="shared" si="1"/>
        <v>4.5</v>
      </c>
      <c r="H12" s="149">
        <f t="shared" si="1"/>
        <v>4.5</v>
      </c>
      <c r="I12" s="149">
        <f t="shared" si="1"/>
        <v>4.5</v>
      </c>
      <c r="J12" s="149">
        <f t="shared" si="1"/>
        <v>4.5</v>
      </c>
    </row>
    <row r="13" spans="2:10" s="148" customFormat="1" ht="14" thickBot="1" x14ac:dyDescent="0.2">
      <c r="B13" s="183"/>
      <c r="C13" s="184"/>
      <c r="D13" s="184"/>
      <c r="E13" s="184"/>
      <c r="F13" s="184"/>
      <c r="G13" s="184"/>
      <c r="H13" s="184"/>
      <c r="I13" s="184"/>
      <c r="J13" s="184"/>
    </row>
    <row r="14" spans="2:10" s="148" customFormat="1" ht="14" thickBot="1" x14ac:dyDescent="0.2">
      <c r="B14" s="183" t="s">
        <v>459</v>
      </c>
      <c r="C14" s="184"/>
      <c r="D14" s="184"/>
      <c r="E14" s="185">
        <f>SUM(E12,E8,E6)</f>
        <v>626.70000000000005</v>
      </c>
      <c r="F14" s="185">
        <f t="shared" ref="F14:J14" si="2">SUM(F12,F8,F6)</f>
        <v>615.59999999999991</v>
      </c>
      <c r="G14" s="185">
        <f t="shared" si="2"/>
        <v>604.19999999999993</v>
      </c>
      <c r="H14" s="185">
        <f t="shared" si="2"/>
        <v>585.30000000000007</v>
      </c>
      <c r="I14" s="185">
        <f t="shared" si="2"/>
        <v>558.70000000000005</v>
      </c>
      <c r="J14" s="185">
        <f t="shared" si="2"/>
        <v>524.9</v>
      </c>
    </row>
    <row r="15" spans="2:10" s="148" customFormat="1" x14ac:dyDescent="0.15">
      <c r="C15" s="149"/>
      <c r="D15" s="149"/>
      <c r="E15" s="149"/>
      <c r="F15" s="149"/>
      <c r="G15" s="149"/>
      <c r="H15" s="149"/>
      <c r="I15" s="149"/>
      <c r="J15" s="149"/>
    </row>
    <row r="16" spans="2:10" x14ac:dyDescent="0.15">
      <c r="B16" s="139" t="s">
        <v>458</v>
      </c>
      <c r="E16" s="140">
        <v>152.19999999999999</v>
      </c>
      <c r="F16" s="140">
        <v>148.19999999999999</v>
      </c>
      <c r="G16" s="140">
        <v>157.1</v>
      </c>
      <c r="H16" s="140">
        <v>168.5</v>
      </c>
      <c r="I16" s="140">
        <v>182.4</v>
      </c>
      <c r="J16" s="140">
        <v>188.9</v>
      </c>
    </row>
    <row r="17" spans="2:11" s="152" customFormat="1" ht="11" x14ac:dyDescent="0.15">
      <c r="B17" s="181" t="s">
        <v>117</v>
      </c>
      <c r="C17" s="182"/>
      <c r="D17" s="182"/>
      <c r="E17" s="182">
        <v>0.31</v>
      </c>
      <c r="F17" s="182">
        <v>0.27600000000000002</v>
      </c>
      <c r="G17" s="182">
        <v>0.26500000000000001</v>
      </c>
      <c r="H17" s="182">
        <v>0.25600000000000001</v>
      </c>
      <c r="I17" s="182">
        <v>0.25</v>
      </c>
      <c r="J17" s="182">
        <v>0.24399999999999999</v>
      </c>
    </row>
    <row r="18" spans="2:11" x14ac:dyDescent="0.15">
      <c r="B18" s="139" t="s">
        <v>457</v>
      </c>
      <c r="E18" s="140">
        <v>13.6</v>
      </c>
      <c r="F18" s="140">
        <v>32.200000000000003</v>
      </c>
      <c r="G18" s="140">
        <v>35.5</v>
      </c>
      <c r="H18" s="140">
        <v>39.4</v>
      </c>
      <c r="I18" s="140">
        <v>43.7</v>
      </c>
      <c r="J18" s="140">
        <v>46.5</v>
      </c>
    </row>
    <row r="19" spans="2:11" s="152" customFormat="1" ht="11" x14ac:dyDescent="0.15">
      <c r="B19" s="181" t="s">
        <v>117</v>
      </c>
      <c r="C19" s="182"/>
      <c r="D19" s="182"/>
      <c r="E19" s="182">
        <v>2.8000000000000001E-2</v>
      </c>
      <c r="F19" s="182">
        <v>0.06</v>
      </c>
      <c r="G19" s="182">
        <v>0.06</v>
      </c>
      <c r="H19" s="182">
        <v>0.06</v>
      </c>
      <c r="I19" s="182">
        <v>0.06</v>
      </c>
      <c r="J19" s="182">
        <v>0.06</v>
      </c>
      <c r="K19" s="181"/>
    </row>
    <row r="20" spans="2:11" x14ac:dyDescent="0.15">
      <c r="B20" s="139" t="s">
        <v>456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</row>
    <row r="21" spans="2:11" ht="14" thickBot="1" x14ac:dyDescent="0.2">
      <c r="B21" s="156" t="s">
        <v>455</v>
      </c>
      <c r="C21" s="157"/>
      <c r="D21" s="157"/>
      <c r="E21" s="157">
        <v>87.6</v>
      </c>
      <c r="F21" s="157">
        <v>20.7</v>
      </c>
      <c r="G21" s="157">
        <v>6.2</v>
      </c>
      <c r="H21" s="157">
        <v>19.3</v>
      </c>
      <c r="I21" s="157">
        <v>27</v>
      </c>
      <c r="J21" s="157">
        <v>34.5</v>
      </c>
    </row>
    <row r="22" spans="2:11" s="148" customFormat="1" x14ac:dyDescent="0.15">
      <c r="B22" s="148" t="s">
        <v>454</v>
      </c>
      <c r="C22" s="149"/>
      <c r="D22" s="149"/>
      <c r="E22" s="149">
        <f>SUM(E21,E20,E18,E16)</f>
        <v>253.39999999999998</v>
      </c>
      <c r="F22" s="149">
        <f t="shared" ref="F22:J22" si="3">SUM(F21,F20,F18,F16)</f>
        <v>201.1</v>
      </c>
      <c r="G22" s="149">
        <f t="shared" si="3"/>
        <v>198.8</v>
      </c>
      <c r="H22" s="149">
        <f t="shared" si="3"/>
        <v>227.2</v>
      </c>
      <c r="I22" s="149">
        <f t="shared" si="3"/>
        <v>253.10000000000002</v>
      </c>
      <c r="J22" s="149">
        <f t="shared" si="3"/>
        <v>269.89999999999998</v>
      </c>
    </row>
    <row r="23" spans="2:11" s="148" customFormat="1" ht="14" thickBot="1" x14ac:dyDescent="0.2">
      <c r="C23" s="149"/>
      <c r="D23" s="149"/>
      <c r="E23" s="149"/>
      <c r="F23" s="149"/>
      <c r="G23" s="149"/>
      <c r="H23" s="149"/>
      <c r="I23" s="149"/>
      <c r="J23" s="149"/>
    </row>
    <row r="24" spans="2:11" s="148" customFormat="1" ht="14" thickBot="1" x14ac:dyDescent="0.2">
      <c r="B24" s="186" t="s">
        <v>453</v>
      </c>
      <c r="C24" s="187"/>
      <c r="D24" s="187"/>
      <c r="E24" s="188">
        <f>SUM(E22,E14)</f>
        <v>880.1</v>
      </c>
      <c r="F24" s="188">
        <f t="shared" ref="F24:J24" si="4">SUM(F22,F14)</f>
        <v>816.69999999999993</v>
      </c>
      <c r="G24" s="188">
        <f t="shared" si="4"/>
        <v>803</v>
      </c>
      <c r="H24" s="188">
        <f t="shared" si="4"/>
        <v>812.5</v>
      </c>
      <c r="I24" s="188">
        <f t="shared" si="4"/>
        <v>811.80000000000007</v>
      </c>
      <c r="J24" s="188">
        <f t="shared" si="4"/>
        <v>794.8</v>
      </c>
    </row>
    <row r="26" spans="2:11" ht="18" x14ac:dyDescent="0.2">
      <c r="B26" s="141" t="s">
        <v>452</v>
      </c>
      <c r="C26" s="140" t="s">
        <v>415</v>
      </c>
      <c r="D26" s="140" t="s">
        <v>414</v>
      </c>
      <c r="E26" s="140" t="s">
        <v>413</v>
      </c>
      <c r="F26" s="140" t="s">
        <v>412</v>
      </c>
      <c r="G26" s="140" t="s">
        <v>140</v>
      </c>
      <c r="H26" s="140" t="s">
        <v>139</v>
      </c>
      <c r="I26" s="140" t="s">
        <v>138</v>
      </c>
      <c r="J26" s="140" t="s">
        <v>141</v>
      </c>
    </row>
    <row r="27" spans="2:11" x14ac:dyDescent="0.15">
      <c r="B27" s="69" t="s">
        <v>112</v>
      </c>
      <c r="C27" s="37" t="s">
        <v>416</v>
      </c>
      <c r="D27" s="37" t="s">
        <v>417</v>
      </c>
      <c r="E27" s="37" t="s">
        <v>418</v>
      </c>
      <c r="F27" s="37" t="s">
        <v>419</v>
      </c>
      <c r="G27" s="37" t="s">
        <v>420</v>
      </c>
      <c r="H27" s="37" t="s">
        <v>421</v>
      </c>
      <c r="I27" s="37" t="s">
        <v>422</v>
      </c>
      <c r="J27" s="37" t="s">
        <v>145</v>
      </c>
    </row>
    <row r="28" spans="2:11" x14ac:dyDescent="0.15">
      <c r="B28" s="139" t="s">
        <v>451</v>
      </c>
      <c r="E28" s="140">
        <v>374.8</v>
      </c>
      <c r="F28" s="140">
        <v>374.8</v>
      </c>
      <c r="G28" s="140">
        <v>374.8</v>
      </c>
      <c r="H28" s="140">
        <v>374.8</v>
      </c>
      <c r="I28" s="140">
        <v>374.8</v>
      </c>
      <c r="J28" s="140">
        <v>374.8</v>
      </c>
    </row>
    <row r="29" spans="2:11" x14ac:dyDescent="0.15">
      <c r="B29" s="139" t="s">
        <v>450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</row>
    <row r="30" spans="2:11" x14ac:dyDescent="0.15">
      <c r="B30" s="139" t="s">
        <v>449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</row>
    <row r="31" spans="2:11" ht="14" thickBot="1" x14ac:dyDescent="0.2">
      <c r="B31" s="156" t="s">
        <v>448</v>
      </c>
      <c r="C31" s="157"/>
      <c r="D31" s="157"/>
      <c r="E31" s="157"/>
      <c r="F31" s="157">
        <v>-7.5</v>
      </c>
      <c r="G31" s="157">
        <v>4.3</v>
      </c>
      <c r="H31" s="157">
        <v>27.6</v>
      </c>
      <c r="I31" s="157">
        <v>59.1</v>
      </c>
      <c r="J31" s="157">
        <v>102</v>
      </c>
    </row>
    <row r="32" spans="2:11" s="148" customFormat="1" x14ac:dyDescent="0.15">
      <c r="B32" s="148" t="s">
        <v>447</v>
      </c>
      <c r="C32" s="149"/>
      <c r="D32" s="149"/>
      <c r="E32" s="149">
        <f>SUM(E28:E31)</f>
        <v>374.8</v>
      </c>
      <c r="F32" s="149">
        <f>SUM(F28:F31)</f>
        <v>367.3</v>
      </c>
      <c r="G32" s="149">
        <f t="shared" ref="G32:J32" si="5">SUM(G28:G31)</f>
        <v>379.1</v>
      </c>
      <c r="H32" s="149">
        <f t="shared" si="5"/>
        <v>402.40000000000003</v>
      </c>
      <c r="I32" s="149">
        <f t="shared" si="5"/>
        <v>433.90000000000003</v>
      </c>
      <c r="J32" s="149">
        <f t="shared" si="5"/>
        <v>476.8</v>
      </c>
    </row>
    <row r="34" spans="2:10" ht="14" thickBot="1" x14ac:dyDescent="0.2">
      <c r="B34" s="156" t="s">
        <v>446</v>
      </c>
      <c r="C34" s="157"/>
      <c r="D34" s="157"/>
      <c r="E34" s="157">
        <v>0</v>
      </c>
      <c r="F34" s="157">
        <v>0</v>
      </c>
      <c r="G34" s="157">
        <v>0</v>
      </c>
      <c r="H34" s="157">
        <v>0</v>
      </c>
      <c r="I34" s="157">
        <v>0</v>
      </c>
      <c r="J34" s="157">
        <v>0</v>
      </c>
    </row>
    <row r="35" spans="2:10" s="148" customFormat="1" x14ac:dyDescent="0.15">
      <c r="B35" s="148" t="s">
        <v>445</v>
      </c>
      <c r="C35" s="149"/>
      <c r="D35" s="149"/>
      <c r="E35" s="149">
        <f>SUM(E34,E32)</f>
        <v>374.8</v>
      </c>
      <c r="F35" s="149">
        <f t="shared" ref="F35:J35" si="6">SUM(F34,F32)</f>
        <v>367.3</v>
      </c>
      <c r="G35" s="149">
        <f t="shared" si="6"/>
        <v>379.1</v>
      </c>
      <c r="H35" s="149">
        <f t="shared" si="6"/>
        <v>402.40000000000003</v>
      </c>
      <c r="I35" s="149">
        <f t="shared" si="6"/>
        <v>433.90000000000003</v>
      </c>
      <c r="J35" s="149">
        <f t="shared" si="6"/>
        <v>476.8</v>
      </c>
    </row>
    <row r="37" spans="2:10" x14ac:dyDescent="0.15">
      <c r="B37" s="139" t="s">
        <v>444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</row>
    <row r="38" spans="2:10" s="152" customFormat="1" ht="11" x14ac:dyDescent="0.15">
      <c r="B38" s="181" t="s">
        <v>117</v>
      </c>
      <c r="C38" s="182"/>
      <c r="D38" s="182"/>
      <c r="E38" s="182">
        <v>0</v>
      </c>
      <c r="F38" s="182">
        <v>0</v>
      </c>
      <c r="G38" s="182">
        <v>0</v>
      </c>
      <c r="H38" s="182">
        <v>0</v>
      </c>
      <c r="I38" s="182">
        <v>0</v>
      </c>
      <c r="J38" s="182">
        <v>0</v>
      </c>
    </row>
    <row r="39" spans="2:10" x14ac:dyDescent="0.15">
      <c r="B39" s="139" t="s">
        <v>443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</row>
    <row r="40" spans="2:10" x14ac:dyDescent="0.15">
      <c r="B40" s="139" t="s">
        <v>442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</row>
    <row r="41" spans="2:10" ht="14" thickBot="1" x14ac:dyDescent="0.2">
      <c r="B41" s="156" t="s">
        <v>441</v>
      </c>
      <c r="C41" s="157"/>
      <c r="D41" s="157"/>
      <c r="E41" s="157">
        <v>55</v>
      </c>
      <c r="F41" s="157">
        <v>55</v>
      </c>
      <c r="G41" s="157">
        <v>55</v>
      </c>
      <c r="H41" s="157">
        <v>55</v>
      </c>
      <c r="I41" s="157">
        <v>55</v>
      </c>
      <c r="J41" s="157">
        <v>55</v>
      </c>
    </row>
    <row r="42" spans="2:10" s="148" customFormat="1" x14ac:dyDescent="0.15">
      <c r="B42" s="148" t="s">
        <v>440</v>
      </c>
      <c r="C42" s="149"/>
      <c r="D42" s="149"/>
      <c r="E42" s="149">
        <f>SUM(E39:E41,E37)</f>
        <v>55</v>
      </c>
      <c r="F42" s="149">
        <f t="shared" ref="F42:J42" si="7">SUM(F39:F41,F37)</f>
        <v>55</v>
      </c>
      <c r="G42" s="149">
        <f t="shared" si="7"/>
        <v>55</v>
      </c>
      <c r="H42" s="149">
        <f t="shared" si="7"/>
        <v>55</v>
      </c>
      <c r="I42" s="149">
        <f t="shared" si="7"/>
        <v>55</v>
      </c>
      <c r="J42" s="149">
        <f t="shared" si="7"/>
        <v>55</v>
      </c>
    </row>
    <row r="44" spans="2:10" x14ac:dyDescent="0.15">
      <c r="B44" s="139" t="s">
        <v>439</v>
      </c>
      <c r="E44" s="140">
        <v>402.7</v>
      </c>
      <c r="F44" s="140">
        <v>328.9</v>
      </c>
      <c r="G44" s="140">
        <v>296.5</v>
      </c>
      <c r="H44" s="140">
        <v>274.7</v>
      </c>
      <c r="I44" s="140">
        <v>233.4</v>
      </c>
      <c r="J44" s="140">
        <v>167.8</v>
      </c>
    </row>
    <row r="45" spans="2:10" x14ac:dyDescent="0.15">
      <c r="B45" s="139" t="s">
        <v>438</v>
      </c>
      <c r="E45" s="140">
        <v>25.9</v>
      </c>
      <c r="F45" s="140">
        <v>32.200000000000003</v>
      </c>
      <c r="G45" s="140">
        <v>35.5</v>
      </c>
      <c r="H45" s="140">
        <v>39.4</v>
      </c>
      <c r="I45" s="140">
        <v>43.7</v>
      </c>
      <c r="J45" s="140">
        <v>46.5</v>
      </c>
    </row>
    <row r="46" spans="2:10" s="152" customFormat="1" ht="11" x14ac:dyDescent="0.15">
      <c r="B46" s="181" t="s">
        <v>117</v>
      </c>
      <c r="C46" s="182"/>
      <c r="D46" s="182"/>
      <c r="E46" s="182">
        <v>5.2999999999999999E-2</v>
      </c>
      <c r="F46" s="182">
        <v>0.06</v>
      </c>
      <c r="G46" s="182">
        <v>0.06</v>
      </c>
      <c r="H46" s="182">
        <v>0.06</v>
      </c>
      <c r="I46" s="182">
        <v>0.06</v>
      </c>
      <c r="J46" s="182">
        <v>0.06</v>
      </c>
    </row>
    <row r="47" spans="2:10" x14ac:dyDescent="0.15">
      <c r="B47" s="139" t="s">
        <v>437</v>
      </c>
      <c r="E47" s="140">
        <v>23.2</v>
      </c>
      <c r="F47" s="140">
        <v>34.799999999999997</v>
      </c>
      <c r="G47" s="140">
        <v>38.5</v>
      </c>
      <c r="H47" s="140">
        <v>42.7</v>
      </c>
      <c r="I47" s="140">
        <v>47.4</v>
      </c>
      <c r="J47" s="140">
        <v>50.4</v>
      </c>
    </row>
    <row r="48" spans="2:10" s="152" customFormat="1" ht="11" x14ac:dyDescent="0.15">
      <c r="B48" s="181" t="s">
        <v>117</v>
      </c>
      <c r="C48" s="182"/>
      <c r="D48" s="182"/>
      <c r="E48" s="182">
        <v>4.7E-2</v>
      </c>
      <c r="F48" s="182">
        <v>6.5000000000000002E-2</v>
      </c>
      <c r="G48" s="182">
        <v>6.5000000000000002E-2</v>
      </c>
      <c r="H48" s="182">
        <v>6.5000000000000002E-2</v>
      </c>
      <c r="I48" s="182">
        <v>6.5000000000000002E-2</v>
      </c>
      <c r="J48" s="182">
        <v>6.5000000000000002E-2</v>
      </c>
    </row>
    <row r="49" spans="2:10" ht="14" thickBot="1" x14ac:dyDescent="0.2">
      <c r="B49" s="156" t="s">
        <v>468</v>
      </c>
      <c r="C49" s="157"/>
      <c r="D49" s="157"/>
      <c r="E49" s="157">
        <v>0</v>
      </c>
      <c r="F49" s="157">
        <v>0</v>
      </c>
      <c r="G49" s="157">
        <v>0</v>
      </c>
      <c r="H49" s="157">
        <v>0</v>
      </c>
      <c r="I49" s="157">
        <v>0</v>
      </c>
      <c r="J49" s="157">
        <v>0</v>
      </c>
    </row>
    <row r="50" spans="2:10" s="160" customFormat="1" ht="21.75" customHeight="1" thickBot="1" x14ac:dyDescent="0.25">
      <c r="B50" s="189" t="s">
        <v>436</v>
      </c>
      <c r="C50" s="190"/>
      <c r="D50" s="190"/>
      <c r="E50" s="190">
        <f>SUM(E49,E47,E44:E45)</f>
        <v>451.79999999999995</v>
      </c>
      <c r="F50" s="190">
        <f t="shared" ref="F50:J50" si="8">SUM(F49,F47,F44:F45)</f>
        <v>395.9</v>
      </c>
      <c r="G50" s="190">
        <f t="shared" si="8"/>
        <v>370.5</v>
      </c>
      <c r="H50" s="190">
        <f t="shared" si="8"/>
        <v>356.79999999999995</v>
      </c>
      <c r="I50" s="190">
        <f t="shared" si="8"/>
        <v>324.5</v>
      </c>
      <c r="J50" s="190">
        <f t="shared" si="8"/>
        <v>264.70000000000005</v>
      </c>
    </row>
    <row r="51" spans="2:10" s="148" customFormat="1" ht="14" thickBot="1" x14ac:dyDescent="0.2">
      <c r="B51" s="186" t="s">
        <v>435</v>
      </c>
      <c r="C51" s="187"/>
      <c r="D51" s="187"/>
      <c r="E51" s="187">
        <f>SUM(E50,E42,E35)</f>
        <v>881.59999999999991</v>
      </c>
      <c r="F51" s="187">
        <f t="shared" ref="F51:J51" si="9">SUM(F50,F42,F35)</f>
        <v>818.2</v>
      </c>
      <c r="G51" s="187">
        <f t="shared" si="9"/>
        <v>804.6</v>
      </c>
      <c r="H51" s="187">
        <f t="shared" si="9"/>
        <v>814.2</v>
      </c>
      <c r="I51" s="187">
        <f t="shared" si="9"/>
        <v>813.40000000000009</v>
      </c>
      <c r="J51" s="187">
        <f t="shared" si="9"/>
        <v>796.5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1AA9-B0A2-A94E-B9D1-7635DE39A23C}">
  <dimension ref="B2:J40"/>
  <sheetViews>
    <sheetView zoomScale="144" zoomScaleNormal="100" workbookViewId="0">
      <selection activeCell="C2" sqref="C2:J3"/>
    </sheetView>
  </sheetViews>
  <sheetFormatPr baseColWidth="10" defaultColWidth="9.42578125" defaultRowHeight="13" x14ac:dyDescent="0.15"/>
  <cols>
    <col min="1" max="1" width="3" style="139" customWidth="1"/>
    <col min="2" max="2" width="42.140625" style="139" bestFit="1" customWidth="1"/>
    <col min="3" max="3" width="7.28515625" style="140" bestFit="1" customWidth="1"/>
    <col min="4" max="4" width="6.85546875" style="140" bestFit="1" customWidth="1"/>
    <col min="5" max="5" width="8.42578125" style="140" bestFit="1" customWidth="1"/>
    <col min="6" max="9" width="6.85546875" style="140" bestFit="1" customWidth="1"/>
    <col min="10" max="10" width="7" style="140" bestFit="1" customWidth="1"/>
    <col min="11" max="16384" width="9.42578125" style="139"/>
  </cols>
  <sheetData>
    <row r="2" spans="2:10" ht="18" x14ac:dyDescent="0.2">
      <c r="B2" s="141" t="s">
        <v>411</v>
      </c>
      <c r="C2" s="140" t="s">
        <v>415</v>
      </c>
      <c r="D2" s="140" t="s">
        <v>414</v>
      </c>
      <c r="E2" s="140" t="s">
        <v>413</v>
      </c>
      <c r="F2" s="140" t="s">
        <v>412</v>
      </c>
      <c r="G2" s="140" t="s">
        <v>140</v>
      </c>
      <c r="H2" s="140" t="s">
        <v>139</v>
      </c>
      <c r="I2" s="140" t="s">
        <v>138</v>
      </c>
      <c r="J2" s="140" t="s">
        <v>141</v>
      </c>
    </row>
    <row r="3" spans="2:10" x14ac:dyDescent="0.15">
      <c r="B3" s="69" t="s">
        <v>112</v>
      </c>
      <c r="C3" s="37" t="s">
        <v>416</v>
      </c>
      <c r="D3" s="37" t="s">
        <v>417</v>
      </c>
      <c r="E3" s="37" t="s">
        <v>418</v>
      </c>
      <c r="F3" s="37" t="s">
        <v>419</v>
      </c>
      <c r="G3" s="37" t="s">
        <v>420</v>
      </c>
      <c r="H3" s="37" t="s">
        <v>421</v>
      </c>
      <c r="I3" s="37" t="s">
        <v>422</v>
      </c>
      <c r="J3" s="37" t="s">
        <v>145</v>
      </c>
    </row>
    <row r="4" spans="2:10" x14ac:dyDescent="0.15">
      <c r="B4" s="139" t="s">
        <v>410</v>
      </c>
      <c r="F4" s="142">
        <v>-1.6</v>
      </c>
      <c r="G4" s="140">
        <v>21.4</v>
      </c>
      <c r="H4" s="140">
        <v>36.799999999999997</v>
      </c>
      <c r="I4" s="140">
        <v>47.7</v>
      </c>
      <c r="J4" s="140">
        <v>62.9</v>
      </c>
    </row>
    <row r="5" spans="2:10" x14ac:dyDescent="0.15">
      <c r="B5" s="139" t="s">
        <v>409</v>
      </c>
      <c r="F5" s="142">
        <v>-6</v>
      </c>
      <c r="G5" s="143">
        <v>-9.6</v>
      </c>
      <c r="H5" s="143">
        <v>-13.5</v>
      </c>
      <c r="I5" s="143">
        <v>-16.2</v>
      </c>
      <c r="J5" s="143">
        <v>-20</v>
      </c>
    </row>
    <row r="6" spans="2:10" x14ac:dyDescent="0.15">
      <c r="B6" s="139" t="s">
        <v>126</v>
      </c>
      <c r="E6" s="143"/>
      <c r="F6" s="142">
        <v>0</v>
      </c>
      <c r="G6" s="143">
        <v>0</v>
      </c>
      <c r="H6" s="143">
        <v>0</v>
      </c>
      <c r="I6" s="143">
        <v>0</v>
      </c>
      <c r="J6" s="143">
        <v>0</v>
      </c>
    </row>
    <row r="7" spans="2:10" x14ac:dyDescent="0.15">
      <c r="B7" s="139" t="s">
        <v>128</v>
      </c>
      <c r="E7" s="143"/>
      <c r="F7" s="142">
        <v>9</v>
      </c>
      <c r="G7" s="143">
        <v>10.5</v>
      </c>
      <c r="H7" s="143">
        <v>12.4</v>
      </c>
      <c r="I7" s="143">
        <v>15.1</v>
      </c>
      <c r="J7" s="143">
        <v>17</v>
      </c>
    </row>
    <row r="8" spans="2:10" x14ac:dyDescent="0.15">
      <c r="B8" s="139" t="s">
        <v>132</v>
      </c>
      <c r="E8" s="143"/>
      <c r="F8" s="142">
        <v>29.7</v>
      </c>
      <c r="G8" s="143">
        <v>29.7</v>
      </c>
      <c r="H8" s="143">
        <v>29.7</v>
      </c>
      <c r="I8" s="143">
        <v>29.7</v>
      </c>
      <c r="J8" s="143">
        <v>29.7</v>
      </c>
    </row>
    <row r="9" spans="2:10" x14ac:dyDescent="0.15">
      <c r="B9" s="139" t="s">
        <v>408</v>
      </c>
      <c r="E9" s="143"/>
      <c r="F9" s="142">
        <v>0</v>
      </c>
      <c r="G9" s="143">
        <v>0</v>
      </c>
      <c r="H9" s="143">
        <v>0</v>
      </c>
      <c r="I9" s="143">
        <v>0</v>
      </c>
      <c r="J9" s="143">
        <v>0</v>
      </c>
    </row>
    <row r="10" spans="2:10" x14ac:dyDescent="0.15">
      <c r="B10" s="139" t="s">
        <v>407</v>
      </c>
      <c r="E10" s="143"/>
      <c r="F10" s="142">
        <v>3.3</v>
      </c>
      <c r="G10" s="143">
        <v>-5.3</v>
      </c>
      <c r="H10" s="143">
        <v>-7.1</v>
      </c>
      <c r="I10" s="143">
        <v>-9.1999999999999993</v>
      </c>
      <c r="J10" s="143">
        <v>-3.5</v>
      </c>
    </row>
    <row r="11" spans="2:10" ht="14" thickBot="1" x14ac:dyDescent="0.2">
      <c r="B11" s="144" t="s">
        <v>406</v>
      </c>
      <c r="C11" s="145"/>
      <c r="D11" s="145"/>
      <c r="E11" s="146"/>
      <c r="F11" s="147">
        <v>0</v>
      </c>
      <c r="G11" s="146">
        <v>0</v>
      </c>
      <c r="H11" s="146">
        <v>0</v>
      </c>
      <c r="I11" s="146">
        <v>0</v>
      </c>
      <c r="J11" s="146">
        <v>0</v>
      </c>
    </row>
    <row r="12" spans="2:10" s="148" customFormat="1" x14ac:dyDescent="0.15">
      <c r="B12" s="148" t="s">
        <v>405</v>
      </c>
      <c r="C12" s="149"/>
      <c r="D12" s="149"/>
      <c r="E12" s="150"/>
      <c r="F12" s="170">
        <f>SUM(F4:F11)</f>
        <v>34.4</v>
      </c>
      <c r="G12" s="171">
        <f>SUM(G4:G11)</f>
        <v>46.7</v>
      </c>
      <c r="H12" s="171">
        <f t="shared" ref="H12:J12" si="0">SUM(H4:H11)</f>
        <v>58.29999999999999</v>
      </c>
      <c r="I12" s="171">
        <f t="shared" si="0"/>
        <v>67.099999999999994</v>
      </c>
      <c r="J12" s="171">
        <f t="shared" si="0"/>
        <v>86.1</v>
      </c>
    </row>
    <row r="13" spans="2:10" s="148" customFormat="1" x14ac:dyDescent="0.15">
      <c r="C13" s="149"/>
      <c r="D13" s="149"/>
      <c r="E13" s="150"/>
      <c r="F13" s="151"/>
      <c r="G13" s="150"/>
      <c r="H13" s="150"/>
      <c r="I13" s="150"/>
      <c r="J13" s="150"/>
    </row>
    <row r="14" spans="2:10" x14ac:dyDescent="0.15">
      <c r="B14" s="139" t="s">
        <v>404</v>
      </c>
      <c r="E14" s="143"/>
      <c r="F14" s="142">
        <v>0</v>
      </c>
      <c r="G14" s="143">
        <v>0</v>
      </c>
      <c r="H14" s="143">
        <v>0</v>
      </c>
      <c r="I14" s="143">
        <v>0</v>
      </c>
      <c r="J14" s="143">
        <v>0</v>
      </c>
    </row>
    <row r="15" spans="2:10" x14ac:dyDescent="0.15">
      <c r="B15" s="139" t="s">
        <v>403</v>
      </c>
      <c r="E15" s="143"/>
      <c r="F15" s="142">
        <v>0</v>
      </c>
      <c r="G15" s="143">
        <v>0</v>
      </c>
      <c r="H15" s="143">
        <v>0</v>
      </c>
      <c r="I15" s="143">
        <v>0</v>
      </c>
      <c r="J15" s="143">
        <v>0</v>
      </c>
    </row>
    <row r="16" spans="2:10" x14ac:dyDescent="0.15">
      <c r="E16" s="143"/>
      <c r="F16" s="142"/>
      <c r="G16" s="143"/>
      <c r="H16" s="143"/>
      <c r="I16" s="143"/>
      <c r="J16" s="143"/>
    </row>
    <row r="17" spans="2:10" x14ac:dyDescent="0.15">
      <c r="B17" s="139" t="s">
        <v>402</v>
      </c>
      <c r="E17" s="143"/>
      <c r="F17" s="142">
        <v>-1</v>
      </c>
      <c r="G17" s="143">
        <v>-1.1000000000000001</v>
      </c>
      <c r="H17" s="143">
        <v>-1.2</v>
      </c>
      <c r="I17" s="143">
        <v>-1.3</v>
      </c>
      <c r="J17" s="143">
        <v>-1.4</v>
      </c>
    </row>
    <row r="18" spans="2:10" s="152" customFormat="1" ht="11" x14ac:dyDescent="0.15">
      <c r="B18" s="164" t="s">
        <v>401</v>
      </c>
      <c r="C18" s="165"/>
      <c r="D18" s="165"/>
      <c r="E18" s="166"/>
      <c r="F18" s="167" t="s">
        <v>423</v>
      </c>
      <c r="G18" s="166" t="s">
        <v>424</v>
      </c>
      <c r="H18" s="166" t="s">
        <v>425</v>
      </c>
      <c r="I18" s="166" t="s">
        <v>426</v>
      </c>
      <c r="J18" s="166" t="s">
        <v>427</v>
      </c>
    </row>
    <row r="19" spans="2:10" s="152" customFormat="1" ht="11" x14ac:dyDescent="0.15">
      <c r="B19" s="164" t="s">
        <v>434</v>
      </c>
      <c r="C19" s="165"/>
      <c r="D19" s="165"/>
      <c r="E19" s="166"/>
      <c r="F19" s="168">
        <v>2E-3</v>
      </c>
      <c r="G19" s="169">
        <v>2E-3</v>
      </c>
      <c r="H19" s="169">
        <v>2E-3</v>
      </c>
      <c r="I19" s="169">
        <v>2E-3</v>
      </c>
      <c r="J19" s="169">
        <v>2E-3</v>
      </c>
    </row>
    <row r="20" spans="2:10" s="152" customFormat="1" ht="11" x14ac:dyDescent="0.15">
      <c r="C20" s="153"/>
      <c r="D20" s="153"/>
      <c r="E20" s="154"/>
      <c r="F20" s="155"/>
      <c r="G20" s="154"/>
      <c r="H20" s="154"/>
      <c r="I20" s="154"/>
      <c r="J20" s="154"/>
    </row>
    <row r="21" spans="2:10" x14ac:dyDescent="0.15">
      <c r="B21" s="139" t="s">
        <v>400</v>
      </c>
      <c r="E21" s="143"/>
      <c r="F21" s="142">
        <v>-26.6</v>
      </c>
      <c r="G21" s="143">
        <v>-27.7</v>
      </c>
      <c r="H21" s="143">
        <v>-22.1</v>
      </c>
      <c r="I21" s="143">
        <v>-16.8</v>
      </c>
      <c r="J21" s="143">
        <v>-11.5</v>
      </c>
    </row>
    <row r="22" spans="2:10" s="152" customFormat="1" ht="11" x14ac:dyDescent="0.15">
      <c r="B22" s="164" t="s">
        <v>399</v>
      </c>
      <c r="C22" s="165"/>
      <c r="D22" s="165"/>
      <c r="E22" s="166"/>
      <c r="F22" s="167" t="s">
        <v>428</v>
      </c>
      <c r="G22" s="166" t="s">
        <v>429</v>
      </c>
      <c r="H22" s="166" t="s">
        <v>430</v>
      </c>
      <c r="I22" s="166" t="s">
        <v>431</v>
      </c>
      <c r="J22" s="166" t="s">
        <v>432</v>
      </c>
    </row>
    <row r="23" spans="2:10" s="152" customFormat="1" ht="11" x14ac:dyDescent="0.15">
      <c r="B23" s="164" t="s">
        <v>398</v>
      </c>
      <c r="C23" s="165"/>
      <c r="D23" s="165"/>
      <c r="E23" s="166"/>
      <c r="F23" s="168">
        <v>0.05</v>
      </c>
      <c r="G23" s="169">
        <v>4.7E-2</v>
      </c>
      <c r="H23" s="169">
        <v>3.4000000000000002E-2</v>
      </c>
      <c r="I23" s="169">
        <v>2.3E-2</v>
      </c>
      <c r="J23" s="169">
        <v>1.4999999999999999E-2</v>
      </c>
    </row>
    <row r="24" spans="2:10" ht="14" thickBot="1" x14ac:dyDescent="0.2">
      <c r="B24" s="156" t="s">
        <v>397</v>
      </c>
      <c r="C24" s="157"/>
      <c r="D24" s="157"/>
      <c r="E24" s="158"/>
      <c r="F24" s="159">
        <v>0</v>
      </c>
      <c r="G24" s="158">
        <v>0</v>
      </c>
      <c r="H24" s="158">
        <v>0</v>
      </c>
      <c r="I24" s="158">
        <v>0</v>
      </c>
      <c r="J24" s="158">
        <v>0</v>
      </c>
    </row>
    <row r="25" spans="2:10" s="160" customFormat="1" ht="20.25" customHeight="1" thickBot="1" x14ac:dyDescent="0.25">
      <c r="B25" s="161" t="s">
        <v>396</v>
      </c>
      <c r="C25" s="162"/>
      <c r="D25" s="162"/>
      <c r="E25" s="163"/>
      <c r="F25" s="172">
        <f>SUM(F24,F21,F17,F14:F15)</f>
        <v>-27.6</v>
      </c>
      <c r="G25" s="173">
        <f>SUM(G24,G21,G17,G14:G15)</f>
        <v>-28.8</v>
      </c>
      <c r="H25" s="173">
        <f t="shared" ref="H25:J25" si="1">SUM(H24,H21,H17,H14:H15)</f>
        <v>-23.3</v>
      </c>
      <c r="I25" s="173">
        <f t="shared" si="1"/>
        <v>-18.100000000000001</v>
      </c>
      <c r="J25" s="173">
        <f t="shared" si="1"/>
        <v>-12.9</v>
      </c>
    </row>
    <row r="26" spans="2:10" s="148" customFormat="1" x14ac:dyDescent="0.15">
      <c r="B26" s="148" t="s">
        <v>395</v>
      </c>
      <c r="C26" s="149"/>
      <c r="D26" s="149"/>
      <c r="E26" s="150"/>
      <c r="F26" s="170">
        <f>SUM(F25,F12)</f>
        <v>6.7999999999999972</v>
      </c>
      <c r="G26" s="171">
        <f>SUM(G25,G12)</f>
        <v>17.900000000000002</v>
      </c>
      <c r="H26" s="171">
        <f>SUM(H25,H12)</f>
        <v>34.999999999999986</v>
      </c>
      <c r="I26" s="171">
        <f>SUM(I25,I12)</f>
        <v>48.999999999999993</v>
      </c>
      <c r="J26" s="171">
        <f>SUM(J25,J12)</f>
        <v>73.199999999999989</v>
      </c>
    </row>
    <row r="27" spans="2:10" s="148" customFormat="1" x14ac:dyDescent="0.15">
      <c r="C27" s="149"/>
      <c r="D27" s="149"/>
      <c r="E27" s="150"/>
      <c r="F27" s="151"/>
      <c r="G27" s="150"/>
      <c r="H27" s="150"/>
      <c r="I27" s="150"/>
      <c r="J27" s="150"/>
    </row>
    <row r="28" spans="2:10" x14ac:dyDescent="0.15">
      <c r="B28" s="139" t="s">
        <v>394</v>
      </c>
      <c r="E28" s="143"/>
      <c r="F28" s="142">
        <v>0</v>
      </c>
      <c r="G28" s="143">
        <v>0</v>
      </c>
      <c r="H28" s="143">
        <v>0</v>
      </c>
      <c r="I28" s="143">
        <v>0</v>
      </c>
      <c r="J28" s="143">
        <v>0</v>
      </c>
    </row>
    <row r="29" spans="2:10" x14ac:dyDescent="0.15">
      <c r="B29" s="139" t="s">
        <v>393</v>
      </c>
      <c r="E29" s="143"/>
      <c r="F29" s="142">
        <v>0</v>
      </c>
      <c r="G29" s="143">
        <v>0</v>
      </c>
      <c r="H29" s="143">
        <v>0</v>
      </c>
      <c r="I29" s="143">
        <v>0</v>
      </c>
      <c r="J29" s="143">
        <v>0</v>
      </c>
    </row>
    <row r="30" spans="2:10" x14ac:dyDescent="0.15">
      <c r="B30" s="139" t="s">
        <v>392</v>
      </c>
      <c r="E30" s="143"/>
      <c r="F30" s="142">
        <v>0</v>
      </c>
      <c r="G30" s="143">
        <v>0</v>
      </c>
      <c r="H30" s="143">
        <v>0</v>
      </c>
      <c r="I30" s="143">
        <v>0</v>
      </c>
      <c r="J30" s="143">
        <v>0</v>
      </c>
    </row>
    <row r="31" spans="2:10" x14ac:dyDescent="0.15">
      <c r="B31" s="139" t="s">
        <v>391</v>
      </c>
      <c r="E31" s="143"/>
      <c r="F31" s="142">
        <v>0</v>
      </c>
      <c r="G31" s="143">
        <v>0</v>
      </c>
      <c r="H31" s="143">
        <v>0</v>
      </c>
      <c r="I31" s="143">
        <v>0</v>
      </c>
      <c r="J31" s="143">
        <v>0</v>
      </c>
    </row>
    <row r="32" spans="2:10" x14ac:dyDescent="0.15">
      <c r="B32" s="139" t="s">
        <v>390</v>
      </c>
      <c r="E32" s="143"/>
      <c r="F32" s="142">
        <v>0</v>
      </c>
      <c r="G32" s="143">
        <v>0</v>
      </c>
      <c r="H32" s="143">
        <v>0</v>
      </c>
      <c r="I32" s="143">
        <v>0</v>
      </c>
      <c r="J32" s="143">
        <v>0</v>
      </c>
    </row>
    <row r="33" spans="2:10" x14ac:dyDescent="0.15">
      <c r="B33" s="139" t="s">
        <v>389</v>
      </c>
      <c r="E33" s="143"/>
      <c r="F33" s="142">
        <v>0</v>
      </c>
      <c r="G33" s="143">
        <v>0</v>
      </c>
      <c r="H33" s="143">
        <v>0</v>
      </c>
      <c r="I33" s="143">
        <v>0</v>
      </c>
      <c r="J33" s="143">
        <v>0</v>
      </c>
    </row>
    <row r="34" spans="2:10" x14ac:dyDescent="0.15">
      <c r="B34" s="139" t="s">
        <v>388</v>
      </c>
      <c r="E34" s="143"/>
      <c r="F34" s="142">
        <v>0</v>
      </c>
      <c r="G34" s="143">
        <v>0</v>
      </c>
      <c r="H34" s="143">
        <v>0</v>
      </c>
      <c r="I34" s="143">
        <v>0</v>
      </c>
      <c r="J34" s="143">
        <v>0</v>
      </c>
    </row>
    <row r="35" spans="2:10" x14ac:dyDescent="0.15">
      <c r="B35" s="139" t="s">
        <v>387</v>
      </c>
      <c r="E35" s="143"/>
      <c r="F35" s="142">
        <v>0</v>
      </c>
      <c r="G35" s="143">
        <v>0</v>
      </c>
      <c r="H35" s="143">
        <v>0</v>
      </c>
      <c r="I35" s="143">
        <v>0</v>
      </c>
      <c r="J35" s="143">
        <v>0</v>
      </c>
    </row>
    <row r="36" spans="2:10" ht="14" thickBot="1" x14ac:dyDescent="0.2">
      <c r="B36" s="156" t="s">
        <v>386</v>
      </c>
      <c r="C36" s="157"/>
      <c r="D36" s="157"/>
      <c r="E36" s="158"/>
      <c r="F36" s="159">
        <v>-73.8</v>
      </c>
      <c r="G36" s="158">
        <v>-32.4</v>
      </c>
      <c r="H36" s="158">
        <v>-21.9</v>
      </c>
      <c r="I36" s="158">
        <v>-41.3</v>
      </c>
      <c r="J36" s="158">
        <v>-65.7</v>
      </c>
    </row>
    <row r="37" spans="2:10" s="148" customFormat="1" x14ac:dyDescent="0.15">
      <c r="B37" s="148" t="s">
        <v>433</v>
      </c>
      <c r="C37" s="149"/>
      <c r="D37" s="149"/>
      <c r="E37" s="150"/>
      <c r="F37" s="170">
        <f>SUM(F26:F36)</f>
        <v>-67</v>
      </c>
      <c r="G37" s="171">
        <f>SUM(G26:G36)</f>
        <v>-14.499999999999996</v>
      </c>
      <c r="H37" s="171">
        <f>SUM(H26:H36)</f>
        <v>13.099999999999987</v>
      </c>
      <c r="I37" s="171">
        <f>SUM(I26:I36)</f>
        <v>7.6999999999999957</v>
      </c>
      <c r="J37" s="171">
        <f>SUM(J26:J36)</f>
        <v>7.4999999999999858</v>
      </c>
    </row>
    <row r="38" spans="2:10" s="148" customFormat="1" x14ac:dyDescent="0.15">
      <c r="C38" s="149"/>
      <c r="D38" s="149"/>
      <c r="E38" s="150"/>
      <c r="F38" s="151"/>
      <c r="G38" s="150"/>
      <c r="H38" s="150"/>
      <c r="I38" s="150"/>
      <c r="J38" s="150"/>
    </row>
    <row r="39" spans="2:10" ht="14" thickBot="1" x14ac:dyDescent="0.2">
      <c r="B39" s="156" t="s">
        <v>385</v>
      </c>
      <c r="C39" s="157"/>
      <c r="D39" s="157"/>
      <c r="E39" s="158"/>
      <c r="F39" s="159">
        <v>87.6</v>
      </c>
      <c r="G39" s="158">
        <v>20.7</v>
      </c>
      <c r="H39" s="158">
        <v>6.2</v>
      </c>
      <c r="I39" s="158">
        <v>19.3</v>
      </c>
      <c r="J39" s="158">
        <v>27</v>
      </c>
    </row>
    <row r="40" spans="2:10" s="148" customFormat="1" ht="14" thickBot="1" x14ac:dyDescent="0.2">
      <c r="B40" s="174" t="s">
        <v>384</v>
      </c>
      <c r="C40" s="175"/>
      <c r="D40" s="175"/>
      <c r="E40" s="176">
        <v>87.6</v>
      </c>
      <c r="F40" s="177">
        <f>SUM(F37:F39)</f>
        <v>20.599999999999994</v>
      </c>
      <c r="G40" s="178">
        <f>SUM(G37:G39)</f>
        <v>6.2000000000000028</v>
      </c>
      <c r="H40" s="178">
        <f t="shared" ref="H40:J40" si="2">SUM(H37:H39)</f>
        <v>19.299999999999986</v>
      </c>
      <c r="I40" s="178">
        <f t="shared" si="2"/>
        <v>26.999999999999996</v>
      </c>
      <c r="J40" s="178">
        <f t="shared" si="2"/>
        <v>34.499999999999986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P&amp;L</vt:lpstr>
      <vt:lpstr>Financials for base case</vt:lpstr>
      <vt:lpstr>Enterprise value</vt:lpstr>
      <vt:lpstr>Kick-back agreement</vt:lpstr>
      <vt:lpstr>Sensitivity analysis</vt:lpstr>
      <vt:lpstr>Base case</vt:lpstr>
      <vt:lpstr>DCF valuation</vt:lpstr>
      <vt:lpstr>Peers</vt:lpstr>
      <vt:lpstr>APPENDIX &gt;&gt;&gt;</vt:lpstr>
      <vt:lpstr>Profit and loss</vt:lpstr>
      <vt:lpstr>Comparable transactions</vt:lpstr>
      <vt:lpstr>Balance sheet</vt:lpstr>
      <vt:lpstr>Cash flow statement</vt:lpstr>
    </vt:vector>
  </TitlesOfParts>
  <Manager>Slideworks</Manager>
  <Company>Slideworks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Slideworks Due Diligence Case 2 example</dc:title>
  <dc:subject>due diligence</dc:subject>
  <dc:creator>Slideworks</dc:creator>
  <cp:keywords>due diligence, m&amp;a, consulting powerpoints</cp:keywords>
  <dc:description>Copyright of Slideworks.io. Any unauthorized distribution prohibited. See our full terms and conditions at https://slideworks.io/terms </dc:description>
  <cp:lastModifiedBy>Microsoft Office User</cp:lastModifiedBy>
  <dcterms:created xsi:type="dcterms:W3CDTF">2024-07-05T09:53:14Z</dcterms:created>
  <dcterms:modified xsi:type="dcterms:W3CDTF">2025-01-15T11:53:33Z</dcterms:modified>
  <cp:category>due diligence</cp:category>
</cp:coreProperties>
</file>