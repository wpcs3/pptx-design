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7. Slideworks - Due diligence ONLINE/Final version for sale_JAN15/Excel template files/2. Balance sheet/"/>
    </mc:Choice>
  </mc:AlternateContent>
  <xr:revisionPtr revIDLastSave="0" documentId="13_ncr:1_{34C7C3A2-CF04-BD4D-A4AB-B225C3378C8E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Balance sheet" sheetId="10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0" l="1"/>
  <c r="F39" i="10" s="1"/>
  <c r="C27" i="10"/>
  <c r="C18" i="10"/>
  <c r="C16" i="10"/>
  <c r="F10" i="10"/>
  <c r="G10" i="10"/>
  <c r="E10" i="10"/>
  <c r="D10" i="10"/>
  <c r="C10" i="10"/>
  <c r="B21" i="10"/>
  <c r="G21" i="10"/>
  <c r="F21" i="10"/>
  <c r="E21" i="10"/>
  <c r="D21" i="10"/>
  <c r="C21" i="10"/>
  <c r="C32" i="10" l="1"/>
  <c r="D32" i="10"/>
  <c r="G32" i="10"/>
  <c r="E32" i="10"/>
  <c r="G27" i="10"/>
  <c r="E27" i="10"/>
  <c r="F27" i="10"/>
  <c r="D27" i="10"/>
  <c r="G16" i="10"/>
  <c r="E16" i="10"/>
  <c r="F16" i="10"/>
  <c r="D16" i="10"/>
  <c r="G39" i="10" l="1"/>
  <c r="F41" i="10"/>
  <c r="D39" i="10"/>
  <c r="D41" i="10" s="1"/>
  <c r="E39" i="10"/>
  <c r="E41" i="10" s="1"/>
  <c r="C39" i="10"/>
  <c r="C41" i="10" s="1"/>
  <c r="G41" i="10"/>
  <c r="E18" i="10" l="1"/>
  <c r="E43" i="10" s="1"/>
  <c r="F18" i="10"/>
  <c r="F43" i="10" s="1"/>
  <c r="D5" i="10"/>
  <c r="E5" i="10" s="1"/>
  <c r="F5" i="10" s="1"/>
  <c r="G18" i="10"/>
  <c r="G43" i="10" s="1"/>
  <c r="D18" i="10"/>
  <c r="D43" i="10" s="1"/>
  <c r="C43" i="10"/>
  <c r="G5" i="10" l="1"/>
</calcChain>
</file>

<file path=xl/sharedStrings.xml><?xml version="1.0" encoding="utf-8"?>
<sst xmlns="http://schemas.openxmlformats.org/spreadsheetml/2006/main" count="31" uniqueCount="31">
  <si>
    <t>Currency: [Insert currency unit e.g, EUR M or USD millions)</t>
  </si>
  <si>
    <t>Balance sheet</t>
  </si>
  <si>
    <t>Tangible fixed assets</t>
  </si>
  <si>
    <t>Intangible fixed assets</t>
  </si>
  <si>
    <t>Goodwill</t>
  </si>
  <si>
    <t>Total fixed assets</t>
  </si>
  <si>
    <t>Inventories/stock</t>
  </si>
  <si>
    <t>Trade receivables</t>
  </si>
  <si>
    <t>Trade payables</t>
  </si>
  <si>
    <t>Payroll liabilities</t>
  </si>
  <si>
    <t>Other receivables</t>
  </si>
  <si>
    <t>Total current assets</t>
  </si>
  <si>
    <t>Total assets</t>
  </si>
  <si>
    <t>Assets</t>
  </si>
  <si>
    <t>Liabilities</t>
  </si>
  <si>
    <t>Provisions</t>
  </si>
  <si>
    <t>Cash and cash equivalents</t>
  </si>
  <si>
    <t>Long-tern debt</t>
  </si>
  <si>
    <t>Share capital</t>
  </si>
  <si>
    <t>Non distributable reserve</t>
  </si>
  <si>
    <t>Equity reserve</t>
  </si>
  <si>
    <t>Retained profit</t>
  </si>
  <si>
    <t>Total shareholders' equity</t>
  </si>
  <si>
    <t>Total long-term liabilities</t>
  </si>
  <si>
    <t>Income tax payables</t>
  </si>
  <si>
    <t>Other long-term liabilities</t>
  </si>
  <si>
    <t>Other taxes payables</t>
  </si>
  <si>
    <t>Other payables</t>
  </si>
  <si>
    <t>Total short-term liabilities</t>
  </si>
  <si>
    <t>Total liabilities</t>
  </si>
  <si>
    <t>Does assets equal liabilities?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</si>
</sst>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_);_(@_)"/>
  </numFmts>
  <fonts count="6" x14ac:knownFonts="1">
    <font>
      <sz val="12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3" fillId="3" borderId="3" xfId="0" applyFont="1" applyFill="1" applyBorder="1"/>
    <xf numFmtId="164" fontId="3" fillId="3" borderId="3" xfId="0" applyNumberFormat="1" applyFont="1" applyFill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0" fontId="3" fillId="0" borderId="4" xfId="0" applyFont="1" applyBorder="1"/>
    <xf numFmtId="0" fontId="3" fillId="3" borderId="5" xfId="0" applyFont="1" applyFill="1" applyBorder="1"/>
    <xf numFmtId="164" fontId="3" fillId="3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'Balance sheet'!$B$18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sheet'!$C$5:$G$5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'Balance sheet'!$C$18:$G$18</c:f>
              <c:numCache>
                <c:formatCode>_(* #,##0.0_);_(* \(#,##0.0\);_(* "-"?_);_(@_)</c:formatCode>
                <c:ptCount val="5"/>
                <c:pt idx="0">
                  <c:v>1744</c:v>
                </c:pt>
                <c:pt idx="1">
                  <c:v>2358</c:v>
                </c:pt>
                <c:pt idx="2">
                  <c:v>2228</c:v>
                </c:pt>
                <c:pt idx="3">
                  <c:v>1571</c:v>
                </c:pt>
                <c:pt idx="4">
                  <c:v>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026-8D47-9E3A-12194B96B861}"/>
            </c:ext>
          </c:extLst>
        </c:ser>
        <c:ser>
          <c:idx val="5"/>
          <c:order val="1"/>
          <c:tx>
            <c:strRef>
              <c:f>'Balance sheet'!$B$41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'Balance sheet'!$C$5:$G$5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'Balance sheet'!$C$41:$G$41</c:f>
              <c:numCache>
                <c:formatCode>_(* #,##0.0_);_(* \(#,##0.0\);_(* "-"?_);_(@_)</c:formatCode>
                <c:ptCount val="5"/>
                <c:pt idx="0">
                  <c:v>1744</c:v>
                </c:pt>
                <c:pt idx="1">
                  <c:v>2358</c:v>
                </c:pt>
                <c:pt idx="2">
                  <c:v>2228</c:v>
                </c:pt>
                <c:pt idx="3">
                  <c:v>1571</c:v>
                </c:pt>
                <c:pt idx="4">
                  <c:v>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026-8D47-9E3A-12194B96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05839"/>
        <c:axId val="102091168"/>
      </c:barChart>
      <c:catAx>
        <c:axId val="18627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91168"/>
        <c:crosses val="autoZero"/>
        <c:auto val="1"/>
        <c:lblAlgn val="ctr"/>
        <c:lblOffset val="100"/>
        <c:noMultiLvlLbl val="0"/>
      </c:catAx>
      <c:valAx>
        <c:axId val="1020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70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12319</xdr:colOff>
      <xdr:row>3</xdr:row>
      <xdr:rowOff>220639</xdr:rowOff>
    </xdr:from>
    <xdr:to>
      <xdr:col>18</xdr:col>
      <xdr:colOff>381000</xdr:colOff>
      <xdr:row>30</xdr:row>
      <xdr:rowOff>151641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46170-8AB1-F0AA-61F5-48E5F361E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_2">
      <a:dk1>
        <a:srgbClr val="061F32"/>
      </a:dk1>
      <a:lt1>
        <a:srgbClr val="FFFFFF"/>
      </a:lt1>
      <a:dk2>
        <a:srgbClr val="44546A"/>
      </a:dk2>
      <a:lt2>
        <a:srgbClr val="E7E6E6"/>
      </a:lt2>
      <a:accent1>
        <a:srgbClr val="061F32"/>
      </a:accent1>
      <a:accent2>
        <a:srgbClr val="22A3DF"/>
      </a:accent2>
      <a:accent3>
        <a:srgbClr val="2222F6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deworks" id="{8DFC3B37-E359-CA49-A1F7-6E72575D4B5B}" vid="{B47373BC-2D7A-6C4B-8BE3-24FFBFBFCD5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05AE-4014-EE42-B42F-3E7FFEDD6C5C}">
  <dimension ref="B2:G43"/>
  <sheetViews>
    <sheetView tabSelected="1" zoomScaleNormal="100" workbookViewId="0">
      <selection activeCell="B49" sqref="B49"/>
    </sheetView>
  </sheetViews>
  <sheetFormatPr baseColWidth="10" defaultColWidth="9.42578125" defaultRowHeight="13" x14ac:dyDescent="0.15"/>
  <cols>
    <col min="1" max="1" width="3.5703125" style="3" customWidth="1"/>
    <col min="2" max="2" width="43" style="3" customWidth="1"/>
    <col min="3" max="7" width="9.42578125" style="4"/>
    <col min="8" max="16384" width="9.42578125" style="3"/>
  </cols>
  <sheetData>
    <row r="2" spans="2:7" ht="18" x14ac:dyDescent="0.2">
      <c r="B2" s="5" t="s">
        <v>1</v>
      </c>
    </row>
    <row r="3" spans="2:7" ht="18" x14ac:dyDescent="0.2">
      <c r="B3" s="5"/>
    </row>
    <row r="4" spans="2:7" ht="18" x14ac:dyDescent="0.2">
      <c r="B4" s="5" t="s">
        <v>13</v>
      </c>
    </row>
    <row r="5" spans="2:7" x14ac:dyDescent="0.15">
      <c r="B5" s="2" t="s">
        <v>0</v>
      </c>
      <c r="C5" s="1">
        <v>2019</v>
      </c>
      <c r="D5" s="1">
        <f>C5+1</f>
        <v>2020</v>
      </c>
      <c r="E5" s="1">
        <f t="shared" ref="E5" si="0">D5+1</f>
        <v>2021</v>
      </c>
      <c r="F5" s="1">
        <f t="shared" ref="F5" si="1">E5+1</f>
        <v>2022</v>
      </c>
      <c r="G5" s="1">
        <f t="shared" ref="G5" si="2">F5+1</f>
        <v>2023</v>
      </c>
    </row>
    <row r="6" spans="2:7" x14ac:dyDescent="0.15">
      <c r="B6" s="8"/>
      <c r="C6" s="9"/>
      <c r="D6" s="9"/>
      <c r="E6" s="9"/>
      <c r="F6" s="9"/>
      <c r="G6" s="9"/>
    </row>
    <row r="7" spans="2:7" x14ac:dyDescent="0.15">
      <c r="B7" s="3" t="s">
        <v>2</v>
      </c>
      <c r="C7" s="12">
        <v>400</v>
      </c>
      <c r="D7" s="12">
        <v>341</v>
      </c>
      <c r="E7" s="12">
        <v>212</v>
      </c>
      <c r="F7" s="12">
        <v>158</v>
      </c>
      <c r="G7" s="12">
        <v>388</v>
      </c>
    </row>
    <row r="8" spans="2:7" s="7" customFormat="1" x14ac:dyDescent="0.15">
      <c r="B8" s="3" t="s">
        <v>3</v>
      </c>
      <c r="C8" s="12">
        <v>110</v>
      </c>
      <c r="D8" s="12">
        <v>119</v>
      </c>
      <c r="E8" s="12">
        <v>353</v>
      </c>
      <c r="F8" s="12">
        <v>282</v>
      </c>
      <c r="G8" s="12">
        <v>431</v>
      </c>
    </row>
    <row r="9" spans="2:7" x14ac:dyDescent="0.15">
      <c r="B9" s="10" t="s">
        <v>4</v>
      </c>
      <c r="C9" s="12">
        <v>337</v>
      </c>
      <c r="D9" s="12">
        <v>456</v>
      </c>
      <c r="E9" s="12">
        <v>197</v>
      </c>
      <c r="F9" s="12">
        <v>192</v>
      </c>
      <c r="G9" s="12">
        <v>201</v>
      </c>
    </row>
    <row r="10" spans="2:7" s="6" customFormat="1" x14ac:dyDescent="0.15">
      <c r="B10" s="6" t="s">
        <v>5</v>
      </c>
      <c r="C10" s="18">
        <f>SUM(C7:C9)</f>
        <v>847</v>
      </c>
      <c r="D10" s="18">
        <f t="shared" ref="D10:G10" si="3">SUM(D7:D9)</f>
        <v>916</v>
      </c>
      <c r="E10" s="18">
        <f t="shared" si="3"/>
        <v>762</v>
      </c>
      <c r="F10" s="18">
        <f>SUM(F7:F9)</f>
        <v>632</v>
      </c>
      <c r="G10" s="18">
        <f t="shared" si="3"/>
        <v>1020</v>
      </c>
    </row>
    <row r="11" spans="2:7" s="6" customFormat="1" x14ac:dyDescent="0.15">
      <c r="C11" s="13"/>
      <c r="D11" s="13"/>
      <c r="E11" s="13"/>
      <c r="F11" s="13"/>
      <c r="G11" s="13"/>
    </row>
    <row r="12" spans="2:7" x14ac:dyDescent="0.15">
      <c r="B12" s="3" t="s">
        <v>6</v>
      </c>
      <c r="C12" s="12">
        <v>239</v>
      </c>
      <c r="D12" s="12">
        <v>162</v>
      </c>
      <c r="E12" s="12">
        <v>498</v>
      </c>
      <c r="F12" s="12">
        <v>220</v>
      </c>
      <c r="G12" s="12">
        <v>454</v>
      </c>
    </row>
    <row r="13" spans="2:7" x14ac:dyDescent="0.15">
      <c r="B13" s="3" t="s">
        <v>7</v>
      </c>
      <c r="C13" s="12">
        <v>382</v>
      </c>
      <c r="D13" s="12">
        <v>433</v>
      </c>
      <c r="E13" s="12">
        <v>472</v>
      </c>
      <c r="F13" s="12">
        <v>353</v>
      </c>
      <c r="G13" s="12">
        <v>449</v>
      </c>
    </row>
    <row r="14" spans="2:7" x14ac:dyDescent="0.15">
      <c r="B14" s="3" t="s">
        <v>10</v>
      </c>
      <c r="C14" s="12">
        <v>126</v>
      </c>
      <c r="D14" s="12">
        <v>433</v>
      </c>
      <c r="E14" s="12">
        <v>117</v>
      </c>
      <c r="F14" s="12">
        <v>101</v>
      </c>
      <c r="G14" s="12">
        <v>246</v>
      </c>
    </row>
    <row r="15" spans="2:7" x14ac:dyDescent="0.15">
      <c r="B15" s="3" t="s">
        <v>16</v>
      </c>
      <c r="C15" s="12">
        <v>150</v>
      </c>
      <c r="D15" s="12">
        <v>414</v>
      </c>
      <c r="E15" s="12">
        <v>379</v>
      </c>
      <c r="F15" s="12">
        <v>265</v>
      </c>
      <c r="G15" s="12">
        <v>499</v>
      </c>
    </row>
    <row r="16" spans="2:7" s="6" customFormat="1" x14ac:dyDescent="0.15">
      <c r="B16" s="11" t="s">
        <v>11</v>
      </c>
      <c r="C16" s="14">
        <f>SUM(C12:C15)</f>
        <v>897</v>
      </c>
      <c r="D16" s="14">
        <f t="shared" ref="D16:G16" si="4">SUM(D12:D15)</f>
        <v>1442</v>
      </c>
      <c r="E16" s="14">
        <f t="shared" si="4"/>
        <v>1466</v>
      </c>
      <c r="F16" s="14">
        <f t="shared" si="4"/>
        <v>939</v>
      </c>
      <c r="G16" s="14">
        <f t="shared" si="4"/>
        <v>1648</v>
      </c>
    </row>
    <row r="17" spans="2:7" s="7" customFormat="1" ht="11" x14ac:dyDescent="0.15">
      <c r="C17" s="15"/>
      <c r="D17" s="15"/>
      <c r="E17" s="15"/>
      <c r="F17" s="15"/>
      <c r="G17" s="15"/>
    </row>
    <row r="18" spans="2:7" s="6" customFormat="1" x14ac:dyDescent="0.15">
      <c r="B18" s="16" t="s">
        <v>12</v>
      </c>
      <c r="C18" s="17">
        <f>C10+C16</f>
        <v>1744</v>
      </c>
      <c r="D18" s="17">
        <f t="shared" ref="D18:G18" si="5">D10+D16</f>
        <v>2358</v>
      </c>
      <c r="E18" s="17">
        <f t="shared" si="5"/>
        <v>2228</v>
      </c>
      <c r="F18" s="17">
        <f t="shared" si="5"/>
        <v>1571</v>
      </c>
      <c r="G18" s="17">
        <f t="shared" si="5"/>
        <v>2668</v>
      </c>
    </row>
    <row r="19" spans="2:7" s="7" customFormat="1" ht="11" x14ac:dyDescent="0.15">
      <c r="C19" s="15"/>
      <c r="D19" s="15"/>
      <c r="E19" s="15"/>
      <c r="F19" s="15"/>
      <c r="G19" s="15"/>
    </row>
    <row r="20" spans="2:7" ht="18" x14ac:dyDescent="0.2">
      <c r="B20" s="5" t="s">
        <v>14</v>
      </c>
    </row>
    <row r="21" spans="2:7" x14ac:dyDescent="0.15">
      <c r="B21" s="2" t="str">
        <f>B5</f>
        <v>Currency: [Insert currency unit e.g, EUR M or USD millions)</v>
      </c>
      <c r="C21" s="1">
        <f>C5</f>
        <v>2019</v>
      </c>
      <c r="D21" s="1">
        <f t="shared" ref="D21:G21" si="6">D5</f>
        <v>2020</v>
      </c>
      <c r="E21" s="1">
        <f t="shared" si="6"/>
        <v>2021</v>
      </c>
      <c r="F21" s="1">
        <f t="shared" si="6"/>
        <v>2022</v>
      </c>
      <c r="G21" s="1">
        <f t="shared" si="6"/>
        <v>2023</v>
      </c>
    </row>
    <row r="22" spans="2:7" x14ac:dyDescent="0.15">
      <c r="B22" s="8"/>
      <c r="C22" s="9"/>
      <c r="D22" s="9"/>
      <c r="E22" s="9"/>
      <c r="F22" s="9"/>
      <c r="G22" s="9"/>
    </row>
    <row r="23" spans="2:7" x14ac:dyDescent="0.15">
      <c r="B23" s="3" t="s">
        <v>18</v>
      </c>
      <c r="C23" s="12">
        <v>360</v>
      </c>
      <c r="D23" s="12">
        <v>160</v>
      </c>
      <c r="E23" s="12">
        <v>477</v>
      </c>
      <c r="F23" s="12">
        <v>138</v>
      </c>
      <c r="G23" s="12">
        <v>225</v>
      </c>
    </row>
    <row r="24" spans="2:7" s="8" customFormat="1" x14ac:dyDescent="0.15">
      <c r="B24" s="3" t="s">
        <v>19</v>
      </c>
      <c r="C24" s="12">
        <v>174</v>
      </c>
      <c r="D24" s="12">
        <v>291</v>
      </c>
      <c r="E24" s="12">
        <v>208</v>
      </c>
      <c r="F24" s="12">
        <v>186</v>
      </c>
      <c r="G24" s="12">
        <v>415</v>
      </c>
    </row>
    <row r="25" spans="2:7" s="7" customFormat="1" x14ac:dyDescent="0.15">
      <c r="B25" s="3" t="s">
        <v>20</v>
      </c>
      <c r="C25" s="12">
        <v>50</v>
      </c>
      <c r="D25" s="12">
        <v>50</v>
      </c>
      <c r="E25" s="12">
        <v>50</v>
      </c>
      <c r="F25" s="12">
        <v>50</v>
      </c>
      <c r="G25" s="12">
        <v>50</v>
      </c>
    </row>
    <row r="26" spans="2:7" x14ac:dyDescent="0.15">
      <c r="B26" s="3" t="s">
        <v>21</v>
      </c>
      <c r="C26" s="12">
        <v>100</v>
      </c>
      <c r="D26" s="12">
        <v>100</v>
      </c>
      <c r="E26" s="12">
        <v>100</v>
      </c>
      <c r="F26" s="12">
        <v>100</v>
      </c>
      <c r="G26" s="12">
        <v>100</v>
      </c>
    </row>
    <row r="27" spans="2:7" s="6" customFormat="1" x14ac:dyDescent="0.15">
      <c r="B27" s="19" t="s">
        <v>22</v>
      </c>
      <c r="C27" s="14">
        <f>SUM(C23:C26)</f>
        <v>684</v>
      </c>
      <c r="D27" s="14">
        <f>SUM(D23:D26)</f>
        <v>601</v>
      </c>
      <c r="E27" s="14">
        <f>SUM(E23:E26)</f>
        <v>835</v>
      </c>
      <c r="F27" s="14">
        <f>SUM(F23:F26)</f>
        <v>474</v>
      </c>
      <c r="G27" s="14">
        <f>SUM(G23:G26)</f>
        <v>790</v>
      </c>
    </row>
    <row r="28" spans="2:7" s="7" customFormat="1" ht="11" x14ac:dyDescent="0.15">
      <c r="C28" s="15"/>
      <c r="D28" s="15"/>
      <c r="E28" s="15"/>
      <c r="F28" s="15"/>
      <c r="G28" s="15"/>
    </row>
    <row r="29" spans="2:7" x14ac:dyDescent="0.15">
      <c r="B29" s="3" t="s">
        <v>15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</row>
    <row r="30" spans="2:7" s="7" customFormat="1" x14ac:dyDescent="0.15">
      <c r="B30" s="3" t="s">
        <v>17</v>
      </c>
      <c r="C30" s="12">
        <v>300</v>
      </c>
      <c r="D30" s="12">
        <v>300</v>
      </c>
      <c r="E30" s="12">
        <v>300</v>
      </c>
      <c r="F30" s="12">
        <v>300</v>
      </c>
      <c r="G30" s="12">
        <v>300</v>
      </c>
    </row>
    <row r="31" spans="2:7" x14ac:dyDescent="0.15">
      <c r="B31" s="3" t="s">
        <v>25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</row>
    <row r="32" spans="2:7" s="6" customFormat="1" x14ac:dyDescent="0.15">
      <c r="B32" s="11" t="s">
        <v>23</v>
      </c>
      <c r="C32" s="14">
        <f>SUM(C29:C31)</f>
        <v>410</v>
      </c>
      <c r="D32" s="14">
        <f>SUM(D29:D31)</f>
        <v>410</v>
      </c>
      <c r="E32" s="14">
        <f>SUM(E29:E31)</f>
        <v>410</v>
      </c>
      <c r="F32" s="14">
        <f>SUM(F29:F31)</f>
        <v>410</v>
      </c>
      <c r="G32" s="14">
        <f>SUM(G29:G31)</f>
        <v>410</v>
      </c>
    </row>
    <row r="33" spans="2:7" s="7" customFormat="1" ht="11" x14ac:dyDescent="0.15">
      <c r="C33" s="15"/>
      <c r="D33" s="15"/>
      <c r="E33" s="15"/>
      <c r="F33" s="15"/>
      <c r="G33" s="15"/>
    </row>
    <row r="34" spans="2:7" x14ac:dyDescent="0.15">
      <c r="B34" s="3" t="s">
        <v>8</v>
      </c>
      <c r="C34" s="12">
        <v>300</v>
      </c>
      <c r="D34" s="12">
        <v>300</v>
      </c>
      <c r="E34" s="12">
        <v>300</v>
      </c>
      <c r="F34" s="12">
        <v>300</v>
      </c>
      <c r="G34" s="12">
        <v>300</v>
      </c>
    </row>
    <row r="35" spans="2:7" x14ac:dyDescent="0.15">
      <c r="B35" s="3" t="s">
        <v>9</v>
      </c>
      <c r="C35" s="12">
        <v>200</v>
      </c>
      <c r="D35" s="12">
        <v>200</v>
      </c>
      <c r="E35" s="12">
        <v>200</v>
      </c>
      <c r="F35" s="12">
        <v>200</v>
      </c>
      <c r="G35" s="12">
        <v>200</v>
      </c>
    </row>
    <row r="36" spans="2:7" x14ac:dyDescent="0.15">
      <c r="B36" s="3" t="s">
        <v>24</v>
      </c>
      <c r="C36" s="12">
        <v>100</v>
      </c>
      <c r="D36" s="12">
        <v>100</v>
      </c>
      <c r="E36" s="12">
        <v>100</v>
      </c>
      <c r="F36" s="12">
        <v>100</v>
      </c>
      <c r="G36" s="12">
        <v>100</v>
      </c>
    </row>
    <row r="37" spans="2:7" x14ac:dyDescent="0.15">
      <c r="B37" s="3" t="s">
        <v>26</v>
      </c>
      <c r="C37" s="12">
        <v>10</v>
      </c>
      <c r="D37" s="12">
        <v>10</v>
      </c>
      <c r="E37" s="12">
        <v>10</v>
      </c>
      <c r="F37" s="12">
        <v>10</v>
      </c>
      <c r="G37" s="12">
        <v>10</v>
      </c>
    </row>
    <row r="38" spans="2:7" s="7" customFormat="1" x14ac:dyDescent="0.15">
      <c r="B38" s="3" t="s">
        <v>27</v>
      </c>
      <c r="C38" s="12">
        <v>40</v>
      </c>
      <c r="D38" s="12">
        <v>737</v>
      </c>
      <c r="E38" s="12">
        <v>373</v>
      </c>
      <c r="F38" s="12">
        <v>77</v>
      </c>
      <c r="G38" s="12">
        <v>858</v>
      </c>
    </row>
    <row r="39" spans="2:7" s="6" customFormat="1" x14ac:dyDescent="0.15">
      <c r="B39" s="11" t="s">
        <v>28</v>
      </c>
      <c r="C39" s="14">
        <f>SUM(C34:C38)</f>
        <v>650</v>
      </c>
      <c r="D39" s="14">
        <f>SUM(D34:D38)</f>
        <v>1347</v>
      </c>
      <c r="E39" s="14">
        <f>SUM(E34:E38)</f>
        <v>983</v>
      </c>
      <c r="F39" s="14">
        <f>SUM(F34:F38)</f>
        <v>687</v>
      </c>
      <c r="G39" s="14">
        <f>SUM(G34:G38)</f>
        <v>1468</v>
      </c>
    </row>
    <row r="40" spans="2:7" x14ac:dyDescent="0.15">
      <c r="C40" s="12"/>
      <c r="D40" s="12"/>
      <c r="E40" s="12"/>
      <c r="F40" s="12"/>
      <c r="G40" s="12"/>
    </row>
    <row r="41" spans="2:7" s="6" customFormat="1" x14ac:dyDescent="0.15">
      <c r="B41" s="20" t="s">
        <v>29</v>
      </c>
      <c r="C41" s="21">
        <f>C27+C32+C39</f>
        <v>1744</v>
      </c>
      <c r="D41" s="21">
        <f t="shared" ref="D41:G41" si="7">D27+D32+D39</f>
        <v>2358</v>
      </c>
      <c r="E41" s="21">
        <f t="shared" si="7"/>
        <v>2228</v>
      </c>
      <c r="F41" s="21">
        <f t="shared" si="7"/>
        <v>1571</v>
      </c>
      <c r="G41" s="21">
        <f t="shared" si="7"/>
        <v>2668</v>
      </c>
    </row>
    <row r="43" spans="2:7" x14ac:dyDescent="0.15">
      <c r="B43" s="3" t="s">
        <v>30</v>
      </c>
      <c r="C43" s="4" t="str">
        <f>IF(C41=C18,"Yes","No")</f>
        <v>Yes</v>
      </c>
      <c r="D43" s="4" t="str">
        <f t="shared" ref="D43:G43" si="8">IF(D41=D18,"Yes","No")</f>
        <v>Yes</v>
      </c>
      <c r="E43" s="4" t="str">
        <f t="shared" si="8"/>
        <v>Yes</v>
      </c>
      <c r="F43" s="4" t="str">
        <f t="shared" si="8"/>
        <v>Yes</v>
      </c>
      <c r="G43" s="4" t="str">
        <f t="shared" si="8"/>
        <v>Yes</v>
      </c>
    </row>
  </sheetData>
  <conditionalFormatting sqref="C43:G43">
    <cfRule type="containsText" dxfId="1" priority="2" operator="containsText" text="No">
      <formula>NOT(ISERROR(SEARCH("No",C43)))</formula>
    </cfRule>
    <cfRule type="containsText" dxfId="0" priority="1" operator="containsText" text="Yes">
      <formula>NOT(ISERROR(SEARCH("Yes",C43)))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Manager>Slideworks</Manager>
  <Company>Slideworks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Due Diligence balance sheet</dc:title>
  <dc:subject>balance sheet</dc:subject>
  <dc:creator>Slideworks</dc:creator>
  <cp:keywords>due diligence, m&amp;a, consulting powerpoints, financial models</cp:keywords>
  <dc:description>Copyright of Slideworks.io. Any unauthorized distribution prohibited. See our full terms and conditions at https://slideworks.io/terms </dc:description>
  <cp:lastModifiedBy>Microsoft Office User</cp:lastModifiedBy>
  <dcterms:created xsi:type="dcterms:W3CDTF">2024-07-05T09:53:14Z</dcterms:created>
  <dcterms:modified xsi:type="dcterms:W3CDTF">2025-01-15T11:54:23Z</dcterms:modified>
  <cp:category>balance sheet</cp:category>
</cp:coreProperties>
</file>