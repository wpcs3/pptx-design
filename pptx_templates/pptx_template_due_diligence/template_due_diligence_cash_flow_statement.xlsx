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7. Slideworks - Due diligence ONLINE/Final version for sale_JAN15/Excel template files/3. Cash flow statement/"/>
    </mc:Choice>
  </mc:AlternateContent>
  <xr:revisionPtr revIDLastSave="0" documentId="13_ncr:1_{5177B41B-0EE7-3D44-A0AE-B64A3DCAA477}" xr6:coauthVersionLast="47" xr6:coauthVersionMax="47" xr10:uidLastSave="{00000000-0000-0000-0000-000000000000}"/>
  <bookViews>
    <workbookView xWindow="28800" yWindow="500" windowWidth="51200" windowHeight="28300" xr2:uid="{00000000-000D-0000-FFFF-FFFF00000000}"/>
  </bookViews>
  <sheets>
    <sheet name="Cash flow statement - SIMPLE" sheetId="13" r:id="rId1"/>
    <sheet name="Cash flow statement - EXTENDED" sheetId="14" r:id="rId2"/>
    <sheet name="NWC - yearly" sheetId="10" r:id="rId3"/>
    <sheet name="NWC - monthly" sheetId="11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4" l="1"/>
  <c r="F18" i="14"/>
  <c r="E18" i="14"/>
  <c r="D18" i="14"/>
  <c r="D35" i="14" s="1"/>
  <c r="C18" i="14"/>
  <c r="G24" i="14"/>
  <c r="F24" i="14"/>
  <c r="E24" i="14"/>
  <c r="D24" i="14"/>
  <c r="C24" i="14"/>
  <c r="G32" i="14"/>
  <c r="F32" i="14"/>
  <c r="F35" i="14" s="1"/>
  <c r="E32" i="14"/>
  <c r="D32" i="14"/>
  <c r="C32" i="14"/>
  <c r="G35" i="14"/>
  <c r="C35" i="14"/>
  <c r="G16" i="14"/>
  <c r="F16" i="14"/>
  <c r="E16" i="14"/>
  <c r="D16" i="14"/>
  <c r="C16" i="14"/>
  <c r="G10" i="14"/>
  <c r="F10" i="14"/>
  <c r="E10" i="14"/>
  <c r="D10" i="14"/>
  <c r="C10" i="14"/>
  <c r="D4" i="14"/>
  <c r="E4" i="14" s="1"/>
  <c r="F4" i="14" s="1"/>
  <c r="G4" i="14" s="1"/>
  <c r="G11" i="13"/>
  <c r="F11" i="13"/>
  <c r="E11" i="13"/>
  <c r="D11" i="13"/>
  <c r="C11" i="13"/>
  <c r="G10" i="13"/>
  <c r="F10" i="13"/>
  <c r="F12" i="13" s="1"/>
  <c r="E10" i="13"/>
  <c r="D10" i="13"/>
  <c r="C10" i="13"/>
  <c r="G9" i="13"/>
  <c r="F9" i="13"/>
  <c r="E9" i="13"/>
  <c r="D9" i="13"/>
  <c r="D12" i="13" s="1"/>
  <c r="C9" i="13"/>
  <c r="G8" i="13"/>
  <c r="F8" i="13"/>
  <c r="E8" i="13"/>
  <c r="D8" i="13"/>
  <c r="C8" i="13"/>
  <c r="C12" i="13" s="1"/>
  <c r="D4" i="13"/>
  <c r="E4" i="13" s="1"/>
  <c r="F4" i="13" s="1"/>
  <c r="G4" i="13" s="1"/>
  <c r="L24" i="11"/>
  <c r="Q21" i="11"/>
  <c r="Q24" i="11" s="1"/>
  <c r="P21" i="11"/>
  <c r="P24" i="11" s="1"/>
  <c r="O21" i="11"/>
  <c r="O24" i="11" s="1"/>
  <c r="N21" i="11"/>
  <c r="N24" i="11" s="1"/>
  <c r="M21" i="11"/>
  <c r="M24" i="11" s="1"/>
  <c r="L21" i="11"/>
  <c r="K21" i="11"/>
  <c r="K24" i="11" s="1"/>
  <c r="J21" i="11"/>
  <c r="J24" i="11" s="1"/>
  <c r="I21" i="11"/>
  <c r="I24" i="11" s="1"/>
  <c r="H21" i="11"/>
  <c r="H24" i="11" s="1"/>
  <c r="Q15" i="11"/>
  <c r="P15" i="11"/>
  <c r="O15" i="11"/>
  <c r="N15" i="11"/>
  <c r="M15" i="11"/>
  <c r="L15" i="11"/>
  <c r="K15" i="11"/>
  <c r="J15" i="11"/>
  <c r="I15" i="11"/>
  <c r="H15" i="11"/>
  <c r="Q14" i="11"/>
  <c r="P14" i="11"/>
  <c r="O14" i="11"/>
  <c r="N14" i="11"/>
  <c r="M14" i="11"/>
  <c r="L14" i="11"/>
  <c r="K14" i="11"/>
  <c r="J14" i="11"/>
  <c r="I14" i="11"/>
  <c r="H14" i="11"/>
  <c r="Q13" i="11"/>
  <c r="P13" i="11"/>
  <c r="O13" i="11"/>
  <c r="N13" i="11"/>
  <c r="M13" i="11"/>
  <c r="L13" i="11"/>
  <c r="K13" i="11"/>
  <c r="J13" i="11"/>
  <c r="I13" i="11"/>
  <c r="H13" i="11"/>
  <c r="Q12" i="11"/>
  <c r="P12" i="11"/>
  <c r="O12" i="11"/>
  <c r="N12" i="11"/>
  <c r="M12" i="11"/>
  <c r="L12" i="11"/>
  <c r="K12" i="11"/>
  <c r="J12" i="11"/>
  <c r="I12" i="11"/>
  <c r="H12" i="11"/>
  <c r="E24" i="11"/>
  <c r="C24" i="11"/>
  <c r="G21" i="11"/>
  <c r="G24" i="11" s="1"/>
  <c r="F21" i="11"/>
  <c r="F24" i="11" s="1"/>
  <c r="E21" i="11"/>
  <c r="D21" i="11"/>
  <c r="D24" i="11" s="1"/>
  <c r="C21" i="11"/>
  <c r="G15" i="11"/>
  <c r="F15" i="11"/>
  <c r="E15" i="11"/>
  <c r="D15" i="11"/>
  <c r="C15" i="11"/>
  <c r="G14" i="11"/>
  <c r="F14" i="11"/>
  <c r="E14" i="11"/>
  <c r="D14" i="11"/>
  <c r="C14" i="11"/>
  <c r="G13" i="11"/>
  <c r="F13" i="11"/>
  <c r="E13" i="11"/>
  <c r="D13" i="11"/>
  <c r="C13" i="11"/>
  <c r="G12" i="11"/>
  <c r="F12" i="11"/>
  <c r="E12" i="11"/>
  <c r="E17" i="11" s="1"/>
  <c r="E26" i="11" s="1"/>
  <c r="D12" i="11"/>
  <c r="C12" i="11"/>
  <c r="G10" i="11"/>
  <c r="F10" i="11"/>
  <c r="E10" i="11"/>
  <c r="D10" i="11"/>
  <c r="C10" i="11"/>
  <c r="G25" i="10"/>
  <c r="F25" i="10"/>
  <c r="E25" i="10"/>
  <c r="D25" i="10"/>
  <c r="C25" i="10"/>
  <c r="C23" i="10"/>
  <c r="G23" i="10"/>
  <c r="G20" i="10"/>
  <c r="F20" i="10"/>
  <c r="F23" i="10" s="1"/>
  <c r="E20" i="10"/>
  <c r="D20" i="10"/>
  <c r="C20" i="10"/>
  <c r="G14" i="10"/>
  <c r="F14" i="10"/>
  <c r="E14" i="10"/>
  <c r="D14" i="10"/>
  <c r="C14" i="10"/>
  <c r="G13" i="10"/>
  <c r="F13" i="10"/>
  <c r="F16" i="10" s="1"/>
  <c r="E13" i="10"/>
  <c r="E16" i="10" s="1"/>
  <c r="D13" i="10"/>
  <c r="C13" i="10"/>
  <c r="G12" i="10"/>
  <c r="F12" i="10"/>
  <c r="E12" i="10"/>
  <c r="D12" i="10"/>
  <c r="C12" i="10"/>
  <c r="C16" i="10" s="1"/>
  <c r="G11" i="10"/>
  <c r="G16" i="10" s="1"/>
  <c r="F11" i="10"/>
  <c r="E11" i="10"/>
  <c r="D11" i="10"/>
  <c r="C11" i="10"/>
  <c r="D16" i="10"/>
  <c r="E35" i="14" l="1"/>
  <c r="G12" i="13"/>
  <c r="E12" i="13"/>
  <c r="I10" i="11"/>
  <c r="I17" i="11" s="1"/>
  <c r="I26" i="11" s="1"/>
  <c r="H10" i="11"/>
  <c r="H17" i="11" s="1"/>
  <c r="H26" i="11" s="1"/>
  <c r="F17" i="11"/>
  <c r="F26" i="11" s="1"/>
  <c r="G17" i="11"/>
  <c r="G26" i="11" s="1"/>
  <c r="C17" i="11"/>
  <c r="C26" i="11" s="1"/>
  <c r="D17" i="11"/>
  <c r="D26" i="11" s="1"/>
  <c r="D23" i="10"/>
  <c r="E23" i="10"/>
  <c r="C9" i="10"/>
  <c r="G9" i="10"/>
  <c r="F9" i="10"/>
  <c r="E9" i="10"/>
  <c r="D9" i="10"/>
  <c r="J10" i="11" l="1"/>
  <c r="J17" i="11" s="1"/>
  <c r="J26" i="11" s="1"/>
  <c r="D4" i="10"/>
  <c r="K10" i="11" l="1"/>
  <c r="K17" i="11" s="1"/>
  <c r="K26" i="11" s="1"/>
  <c r="E4" i="10"/>
  <c r="L10" i="11" l="1"/>
  <c r="L17" i="11" s="1"/>
  <c r="L26" i="11" s="1"/>
  <c r="F4" i="10"/>
  <c r="M10" i="11" l="1"/>
  <c r="M17" i="11" s="1"/>
  <c r="M26" i="11" s="1"/>
  <c r="G4" i="10"/>
  <c r="N10" i="11" l="1"/>
  <c r="N17" i="11" s="1"/>
  <c r="N26" i="11" s="1"/>
  <c r="O10" i="11" l="1"/>
  <c r="O17" i="11" s="1"/>
  <c r="O26" i="11" s="1"/>
  <c r="P10" i="11" l="1"/>
  <c r="P17" i="11" s="1"/>
  <c r="P26" i="11" s="1"/>
  <c r="Q10" i="11"/>
  <c r="Q17" i="11" s="1"/>
  <c r="Q26" i="11" s="1"/>
</calcChain>
</file>

<file path=xl/sharedStrings.xml><?xml version="1.0" encoding="utf-8"?>
<sst xmlns="http://schemas.openxmlformats.org/spreadsheetml/2006/main" count="85" uniqueCount="61">
  <si>
    <t>Currency: [Insert currency unit e.g, EUR M or USD millions)</t>
  </si>
  <si>
    <t>Inventories/stock</t>
  </si>
  <si>
    <t>Trade receivables</t>
  </si>
  <si>
    <t>Trade payables</t>
  </si>
  <si>
    <t>Payroll liabilities</t>
  </si>
  <si>
    <t>Other receivables</t>
  </si>
  <si>
    <t>Income tax payables</t>
  </si>
  <si>
    <t>Other taxes payables</t>
  </si>
  <si>
    <t>Other payables</t>
  </si>
  <si>
    <t>Monthly net working capital overview</t>
  </si>
  <si>
    <t>Trade net working capital</t>
  </si>
  <si>
    <t>Reported net working capital</t>
  </si>
  <si>
    <t>Corporate income tax payable</t>
  </si>
  <si>
    <t>Adjustments</t>
  </si>
  <si>
    <t>One-off costs</t>
  </si>
  <si>
    <t>Accrued interest</t>
  </si>
  <si>
    <t>Shareholder payables</t>
  </si>
  <si>
    <t>Total adjustments</t>
  </si>
  <si>
    <t>Adjusted net working capital</t>
  </si>
  <si>
    <t>Annual net working capital overview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</si>
  <si>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</si>
  <si>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</si>
  <si>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</si>
  <si>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</si>
  <si>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</si>
  <si>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</si>
  <si>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</si>
  <si>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</si>
  <si>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</si>
  <si>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</si>
  <si>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</si>
  <si>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</si>
  <si>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Cash flow statement</t>
  </si>
  <si>
    <t>Reported EBITDA</t>
  </si>
  <si>
    <t>Capex</t>
  </si>
  <si>
    <t>Change in net working capital</t>
  </si>
  <si>
    <t>Taxes</t>
  </si>
  <si>
    <t>Other costs</t>
  </si>
  <si>
    <t>Free cash flow</t>
  </si>
  <si>
    <t>Net income adjusted</t>
  </si>
  <si>
    <t>Depreciation and amortization</t>
  </si>
  <si>
    <t>Deferred income taxes</t>
  </si>
  <si>
    <t>Cash flow from operating activities</t>
  </si>
  <si>
    <t>Changes in accounts receivable</t>
  </si>
  <si>
    <t>Changes in inventory</t>
  </si>
  <si>
    <t>Changes in accounts payable</t>
  </si>
  <si>
    <t>Changes in accrued liabilities</t>
  </si>
  <si>
    <t>Net changes in operating working capital</t>
  </si>
  <si>
    <t>Total cash flow from operating activities</t>
  </si>
  <si>
    <t>Cash flow from operating activities:</t>
  </si>
  <si>
    <t>Cash flow from financial activities:</t>
  </si>
  <si>
    <t>Cash flow from investing activities:</t>
  </si>
  <si>
    <t>Payments for property and equipment (CAPEX)</t>
  </si>
  <si>
    <t>Other investing activities</t>
  </si>
  <si>
    <t>Total cash flow from investing activities</t>
  </si>
  <si>
    <t>Short-term borrowings (repayments)</t>
  </si>
  <si>
    <t>Long-term borrowings (repayments)</t>
  </si>
  <si>
    <t>Dividends paid</t>
  </si>
  <si>
    <t>Equity Issuances (buybacks)</t>
  </si>
  <si>
    <t>Total cash flow from financial activities</t>
  </si>
  <si>
    <t>Total change in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</si>
</sst>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_);_(@_)"/>
  </numFmts>
  <fonts count="6" x14ac:knownFonts="1">
    <font>
      <sz val="12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3" borderId="3" xfId="0" applyFont="1" applyFill="1" applyBorder="1"/>
    <xf numFmtId="164" fontId="3" fillId="3" borderId="3" xfId="0" applyNumberFormat="1" applyFont="1" applyFill="1" applyBorder="1" applyAlignment="1">
      <alignment horizontal="right"/>
    </xf>
    <xf numFmtId="0" fontId="3" fillId="0" borderId="4" xfId="0" applyFont="1" applyBorder="1"/>
    <xf numFmtId="0" fontId="2" fillId="0" borderId="4" xfId="0" applyFont="1" applyBorder="1" applyAlignment="1">
      <alignment horizontal="right"/>
    </xf>
    <xf numFmtId="0" fontId="3" fillId="0" borderId="2" xfId="0" applyFont="1" applyBorder="1"/>
    <xf numFmtId="0" fontId="3" fillId="0" borderId="5" xfId="0" applyFont="1" applyBorder="1"/>
    <xf numFmtId="164" fontId="3" fillId="0" borderId="5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'Cash flow statement - SIMPLE'!$B$12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'Cash flow statement - SIMPLE'!$C$4:$G$4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'Cash flow statement - SIMPLE'!$C$12:$G$12</c:f>
              <c:numCache>
                <c:formatCode>_(* #,##0.0_);_(* \(#,##0.0\);_(* "-"?_);_(@_)</c:formatCode>
                <c:ptCount val="5"/>
                <c:pt idx="0">
                  <c:v>482</c:v>
                </c:pt>
                <c:pt idx="1">
                  <c:v>518</c:v>
                </c:pt>
                <c:pt idx="2">
                  <c:v>447</c:v>
                </c:pt>
                <c:pt idx="3">
                  <c:v>498</c:v>
                </c:pt>
                <c:pt idx="4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B-7A48-AC3B-24F084A7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05839"/>
        <c:axId val="102091168"/>
      </c:barChart>
      <c:catAx>
        <c:axId val="18627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1168"/>
        <c:crosses val="autoZero"/>
        <c:auto val="1"/>
        <c:lblAlgn val="ctr"/>
        <c:lblOffset val="100"/>
        <c:noMultiLvlLbl val="0"/>
      </c:catAx>
      <c:valAx>
        <c:axId val="1020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4"/>
          <c:order val="0"/>
          <c:tx>
            <c:strRef>
              <c:f>'Cash flow statement - EXTENDED'!$B$18</c:f>
              <c:strCache>
                <c:ptCount val="1"/>
                <c:pt idx="0">
                  <c:v>Total cash flow from operating activities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'Cash flow statement - EXTENDED'!$C$4:$G$4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'Cash flow statement - EXTENDED'!$C$18:$G$18</c:f>
              <c:numCache>
                <c:formatCode>_(* #,##0.0_);_(* \(#,##0.0\);_(* "-"?_);_(@_)</c:formatCode>
                <c:ptCount val="5"/>
                <c:pt idx="0">
                  <c:v>690</c:v>
                </c:pt>
                <c:pt idx="1">
                  <c:v>665</c:v>
                </c:pt>
                <c:pt idx="2">
                  <c:v>770</c:v>
                </c:pt>
                <c:pt idx="3">
                  <c:v>620</c:v>
                </c:pt>
                <c:pt idx="4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FA-6F41-BADE-8C7D9FF9338B}"/>
            </c:ext>
          </c:extLst>
        </c:ser>
        <c:ser>
          <c:idx val="20"/>
          <c:order val="1"/>
          <c:tx>
            <c:strRef>
              <c:f>'Cash flow statement - EXTENDED'!$B$24</c:f>
              <c:strCache>
                <c:ptCount val="1"/>
                <c:pt idx="0">
                  <c:v>Total cash flow from investing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'Cash flow statement - EXTENDED'!$C$4:$G$4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'Cash flow statement - EXTENDED'!$C$24:$G$24</c:f>
              <c:numCache>
                <c:formatCode>_(* #,##0.0_);_(* \(#,##0.0\);_(* "-"?_);_(@_)</c:formatCode>
                <c:ptCount val="5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EFA-6F41-BADE-8C7D9FF9338B}"/>
            </c:ext>
          </c:extLst>
        </c:ser>
        <c:ser>
          <c:idx val="28"/>
          <c:order val="2"/>
          <c:tx>
            <c:strRef>
              <c:f>'Cash flow statement - EXTENDED'!$B$32</c:f>
              <c:strCache>
                <c:ptCount val="1"/>
                <c:pt idx="0">
                  <c:v>Total cash flow from financial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'Cash flow statement - EXTENDED'!$C$4:$G$4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'Cash flow statement - EXTENDED'!$C$32:$G$32</c:f>
              <c:numCache>
                <c:formatCode>_(* #,##0.0_);_(* \(#,##0.0\);_(* "-"?_);_(@_)</c:formatCode>
                <c:ptCount val="5"/>
                <c:pt idx="0">
                  <c:v>-250</c:v>
                </c:pt>
                <c:pt idx="1">
                  <c:v>-250</c:v>
                </c:pt>
                <c:pt idx="2">
                  <c:v>-250</c:v>
                </c:pt>
                <c:pt idx="3">
                  <c:v>-250</c:v>
                </c:pt>
                <c:pt idx="4">
                  <c:v>-250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EFA-6F41-BADE-8C7D9FF9338B}"/>
            </c:ext>
          </c:extLst>
        </c:ser>
        <c:ser>
          <c:idx val="31"/>
          <c:order val="3"/>
          <c:tx>
            <c:strRef>
              <c:f>'Cash flow statement - EXTENDED'!$B$35</c:f>
              <c:strCache>
                <c:ptCount val="1"/>
                <c:pt idx="0">
                  <c:v>Total change in cash flow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'Cash flow statement - EXTENDED'!$C$4:$G$4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'Cash flow statement - EXTENDED'!$C$35:$G$35</c:f>
              <c:numCache>
                <c:formatCode>_(* #,##0.0_);_(* \(#,##0.0\);_(* "-"?_);_(@_)</c:formatCode>
                <c:ptCount val="5"/>
                <c:pt idx="0">
                  <c:v>360</c:v>
                </c:pt>
                <c:pt idx="1">
                  <c:v>335</c:v>
                </c:pt>
                <c:pt idx="2">
                  <c:v>440</c:v>
                </c:pt>
                <c:pt idx="3">
                  <c:v>290</c:v>
                </c:pt>
                <c:pt idx="4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EFA-6F41-BADE-8C7D9FF93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05839"/>
        <c:axId val="102091168"/>
      </c:barChart>
      <c:catAx>
        <c:axId val="18627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1168"/>
        <c:crosses val="autoZero"/>
        <c:auto val="1"/>
        <c:lblAlgn val="ctr"/>
        <c:lblOffset val="100"/>
        <c:noMultiLvlLbl val="0"/>
      </c:catAx>
      <c:valAx>
        <c:axId val="1020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'NWC - yearly'!$B$16</c:f>
              <c:strCache>
                <c:ptCount val="1"/>
                <c:pt idx="0">
                  <c:v>Reported net working capital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'NWC - yearly'!$C$4:$G$4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'NWC - yearly'!$C$16:$G$16</c:f>
              <c:numCache>
                <c:formatCode>_(* #,##0.0_);_(* \(#,##0.0\);_(* "-"?_);_(@_)</c:formatCode>
                <c:ptCount val="5"/>
                <c:pt idx="0">
                  <c:v>193</c:v>
                </c:pt>
                <c:pt idx="1">
                  <c:v>24</c:v>
                </c:pt>
                <c:pt idx="2">
                  <c:v>388</c:v>
                </c:pt>
                <c:pt idx="3">
                  <c:v>268</c:v>
                </c:pt>
                <c:pt idx="4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026-8D47-9E3A-12194B96B861}"/>
            </c:ext>
          </c:extLst>
        </c:ser>
        <c:ser>
          <c:idx val="4"/>
          <c:order val="1"/>
          <c:tx>
            <c:strRef>
              <c:f>'NWC - yearly'!$B$25</c:f>
              <c:strCache>
                <c:ptCount val="1"/>
                <c:pt idx="0">
                  <c:v>Adjusted net working capital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'NWC - yearly'!$C$4:$G$4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'NWC - yearly'!$C$25:$G$25</c:f>
              <c:numCache>
                <c:formatCode>_(* #,##0.0_);_(* \(#,##0.0\);_(* "-"?_);_(@_)</c:formatCode>
                <c:ptCount val="5"/>
                <c:pt idx="0">
                  <c:v>203</c:v>
                </c:pt>
                <c:pt idx="1">
                  <c:v>34</c:v>
                </c:pt>
                <c:pt idx="2">
                  <c:v>398</c:v>
                </c:pt>
                <c:pt idx="3">
                  <c:v>278</c:v>
                </c:pt>
                <c:pt idx="4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026-8D47-9E3A-12194B96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05839"/>
        <c:axId val="102091168"/>
      </c:barChart>
      <c:catAx>
        <c:axId val="18627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1168"/>
        <c:crosses val="autoZero"/>
        <c:auto val="1"/>
        <c:lblAlgn val="ctr"/>
        <c:lblOffset val="100"/>
        <c:noMultiLvlLbl val="0"/>
      </c:catAx>
      <c:valAx>
        <c:axId val="1020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0"/>
          <c:order val="0"/>
          <c:tx>
            <c:strRef>
              <c:f>'NWC - monthly'!$B$17</c:f>
              <c:strCache>
                <c:ptCount val="1"/>
                <c:pt idx="0">
                  <c:v>Reported net working capital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'NWC - monthly'!$C$5:$Q$6</c:f>
              <c:strCache>
                <c:ptCount val="1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</c:strCache>
            </c:strRef>
          </c:cat>
          <c:val>
            <c:numRef>
              <c:f>'NWC - monthly'!$C$17:$Q$17</c:f>
              <c:numCache>
                <c:formatCode>_(* #,##0.0_);_(* \(#,##0.0\);_(* "-"?_);_(@_)</c:formatCode>
                <c:ptCount val="15"/>
                <c:pt idx="0">
                  <c:v>193</c:v>
                </c:pt>
                <c:pt idx="1">
                  <c:v>24</c:v>
                </c:pt>
                <c:pt idx="2">
                  <c:v>388</c:v>
                </c:pt>
                <c:pt idx="3">
                  <c:v>268</c:v>
                </c:pt>
                <c:pt idx="4">
                  <c:v>638</c:v>
                </c:pt>
                <c:pt idx="5">
                  <c:v>699.80000000000007</c:v>
                </c:pt>
                <c:pt idx="6">
                  <c:v>767.7800000000002</c:v>
                </c:pt>
                <c:pt idx="7">
                  <c:v>842.55800000000033</c:v>
                </c:pt>
                <c:pt idx="8">
                  <c:v>924.81380000000036</c:v>
                </c:pt>
                <c:pt idx="9">
                  <c:v>1015.2951800000005</c:v>
                </c:pt>
                <c:pt idx="10">
                  <c:v>1114.8246980000006</c:v>
                </c:pt>
                <c:pt idx="11">
                  <c:v>1224.3071678000006</c:v>
                </c:pt>
                <c:pt idx="12">
                  <c:v>1344.7378845800008</c:v>
                </c:pt>
                <c:pt idx="13">
                  <c:v>1477.211673038001</c:v>
                </c:pt>
                <c:pt idx="14">
                  <c:v>1622.932840341801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8C-B347-AE41-D543C6F9F267}"/>
            </c:ext>
          </c:extLst>
        </c:ser>
        <c:ser>
          <c:idx val="19"/>
          <c:order val="1"/>
          <c:tx>
            <c:strRef>
              <c:f>'NWC - monthly'!$B$26</c:f>
              <c:strCache>
                <c:ptCount val="1"/>
                <c:pt idx="0">
                  <c:v>Adjusted net working capital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'NWC - monthly'!$C$5:$Q$6</c:f>
              <c:strCache>
                <c:ptCount val="1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</c:strCache>
            </c:strRef>
          </c:cat>
          <c:val>
            <c:numRef>
              <c:f>'NWC - monthly'!$C$26:$Q$26</c:f>
              <c:numCache>
                <c:formatCode>_(* #,##0.0_);_(* \(#,##0.0\);_(* "-"?_);_(@_)</c:formatCode>
                <c:ptCount val="15"/>
                <c:pt idx="0">
                  <c:v>203</c:v>
                </c:pt>
                <c:pt idx="1">
                  <c:v>34</c:v>
                </c:pt>
                <c:pt idx="2">
                  <c:v>398</c:v>
                </c:pt>
                <c:pt idx="3">
                  <c:v>278</c:v>
                </c:pt>
                <c:pt idx="4">
                  <c:v>648</c:v>
                </c:pt>
                <c:pt idx="5">
                  <c:v>709.80000000000007</c:v>
                </c:pt>
                <c:pt idx="6">
                  <c:v>777.7800000000002</c:v>
                </c:pt>
                <c:pt idx="7">
                  <c:v>852.55800000000033</c:v>
                </c:pt>
                <c:pt idx="8">
                  <c:v>934.81380000000036</c:v>
                </c:pt>
                <c:pt idx="9">
                  <c:v>1025.2951800000005</c:v>
                </c:pt>
                <c:pt idx="10">
                  <c:v>1124.8246980000006</c:v>
                </c:pt>
                <c:pt idx="11">
                  <c:v>1234.3071678000006</c:v>
                </c:pt>
                <c:pt idx="12">
                  <c:v>1354.7378845800008</c:v>
                </c:pt>
                <c:pt idx="13">
                  <c:v>1487.211673038001</c:v>
                </c:pt>
                <c:pt idx="14">
                  <c:v>1632.932840341801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E8C-B347-AE41-D543C6F9F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05839"/>
        <c:axId val="102091168"/>
      </c:barChart>
      <c:catAx>
        <c:axId val="18627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1168"/>
        <c:crosses val="autoZero"/>
        <c:auto val="1"/>
        <c:lblAlgn val="ctr"/>
        <c:lblOffset val="100"/>
        <c:noMultiLvlLbl val="0"/>
      </c:catAx>
      <c:valAx>
        <c:axId val="1020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314885</xdr:colOff>
      <xdr:row>16</xdr:row>
      <xdr:rowOff>38073</xdr:rowOff>
    </xdr:from>
    <xdr:to>
      <xdr:col>7</xdr:col>
      <xdr:colOff>739801</xdr:colOff>
      <xdr:row>36</xdr:row>
      <xdr:rowOff>23786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C0D79-620F-124B-B3F0-9859D9BF0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35055</xdr:colOff>
      <xdr:row>39</xdr:row>
      <xdr:rowOff>16546</xdr:rowOff>
    </xdr:from>
    <xdr:to>
      <xdr:col>7</xdr:col>
      <xdr:colOff>782852</xdr:colOff>
      <xdr:row>59</xdr:row>
      <xdr:rowOff>2260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B46CD-B95F-D74D-8772-504B4B10B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314885</xdr:colOff>
      <xdr:row>28</xdr:row>
      <xdr:rowOff>38073</xdr:rowOff>
    </xdr:from>
    <xdr:to>
      <xdr:col>7</xdr:col>
      <xdr:colOff>739801</xdr:colOff>
      <xdr:row>48</xdr:row>
      <xdr:rowOff>23786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46170-8AB1-F0AA-61F5-48E5F361E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142681</xdr:colOff>
      <xdr:row>28</xdr:row>
      <xdr:rowOff>38073</xdr:rowOff>
    </xdr:from>
    <xdr:to>
      <xdr:col>16</xdr:col>
      <xdr:colOff>828728</xdr:colOff>
      <xdr:row>48</xdr:row>
      <xdr:rowOff>23787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0E073-9B5B-2C4C-9829-AC0714725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_2">
      <a:dk1>
        <a:srgbClr val="061F32"/>
      </a:dk1>
      <a:lt1>
        <a:srgbClr val="FFFFFF"/>
      </a:lt1>
      <a:dk2>
        <a:srgbClr val="44546A"/>
      </a:dk2>
      <a:lt2>
        <a:srgbClr val="E7E6E6"/>
      </a:lt2>
      <a:accent1>
        <a:srgbClr val="061F32"/>
      </a:accent1>
      <a:accent2>
        <a:srgbClr val="22A3DF"/>
      </a:accent2>
      <a:accent3>
        <a:srgbClr val="2222F6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deworks" id="{8DFC3B37-E359-CA49-A1F7-6E72575D4B5B}" vid="{B47373BC-2D7A-6C4B-8BE3-24FFBFBFCD5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E64F-C229-6349-B694-AD80CC648F0D}">
  <dimension ref="B2:H26"/>
  <sheetViews>
    <sheetView tabSelected="1" zoomScale="118" zoomScaleNormal="100" workbookViewId="0">
      <selection activeCell="I22" sqref="I22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7" ht="18" x14ac:dyDescent="0.2">
      <c r="B2" s="5" t="s">
        <v>32</v>
      </c>
    </row>
    <row r="3" spans="2:7" ht="18" x14ac:dyDescent="0.2">
      <c r="B3" s="5"/>
    </row>
    <row r="4" spans="2:7" x14ac:dyDescent="0.15">
      <c r="B4" s="2" t="s">
        <v>0</v>
      </c>
      <c r="C4" s="1">
        <v>2019</v>
      </c>
      <c r="D4" s="1">
        <f>C4+1</f>
        <v>2020</v>
      </c>
      <c r="E4" s="1">
        <f t="shared" ref="E4:G4" si="0">D4+1</f>
        <v>2021</v>
      </c>
      <c r="F4" s="1">
        <f t="shared" si="0"/>
        <v>2022</v>
      </c>
      <c r="G4" s="1">
        <f t="shared" si="0"/>
        <v>2023</v>
      </c>
    </row>
    <row r="5" spans="2:7" x14ac:dyDescent="0.15">
      <c r="B5" s="8"/>
      <c r="C5" s="9"/>
      <c r="D5" s="9"/>
      <c r="E5" s="9"/>
      <c r="F5" s="9"/>
      <c r="G5" s="9"/>
    </row>
    <row r="6" spans="2:7" s="6" customFormat="1" x14ac:dyDescent="0.15">
      <c r="B6" s="19" t="s">
        <v>33</v>
      </c>
      <c r="C6" s="20">
        <v>562</v>
      </c>
      <c r="D6" s="20">
        <v>598</v>
      </c>
      <c r="E6" s="20">
        <v>527</v>
      </c>
      <c r="F6" s="20">
        <v>578</v>
      </c>
      <c r="G6" s="20">
        <v>547</v>
      </c>
    </row>
    <row r="7" spans="2:7" s="6" customFormat="1" x14ac:dyDescent="0.15">
      <c r="C7" s="12"/>
      <c r="D7" s="12"/>
      <c r="E7" s="12"/>
      <c r="F7" s="12"/>
      <c r="G7" s="12"/>
    </row>
    <row r="8" spans="2:7" x14ac:dyDescent="0.15">
      <c r="B8" s="3" t="s">
        <v>34</v>
      </c>
      <c r="C8" s="11">
        <f>-20</f>
        <v>-20</v>
      </c>
      <c r="D8" s="11">
        <f t="shared" ref="D8:G11" si="1">-20</f>
        <v>-20</v>
      </c>
      <c r="E8" s="11">
        <f t="shared" si="1"/>
        <v>-20</v>
      </c>
      <c r="F8" s="11">
        <f t="shared" si="1"/>
        <v>-20</v>
      </c>
      <c r="G8" s="11">
        <f t="shared" si="1"/>
        <v>-20</v>
      </c>
    </row>
    <row r="9" spans="2:7" x14ac:dyDescent="0.15">
      <c r="B9" s="3" t="s">
        <v>35</v>
      </c>
      <c r="C9" s="11">
        <f t="shared" ref="C9:C11" si="2">-20</f>
        <v>-20</v>
      </c>
      <c r="D9" s="11">
        <f t="shared" si="1"/>
        <v>-20</v>
      </c>
      <c r="E9" s="11">
        <f t="shared" si="1"/>
        <v>-20</v>
      </c>
      <c r="F9" s="11">
        <f t="shared" si="1"/>
        <v>-20</v>
      </c>
      <c r="G9" s="11">
        <f t="shared" si="1"/>
        <v>-20</v>
      </c>
    </row>
    <row r="10" spans="2:7" x14ac:dyDescent="0.15">
      <c r="B10" s="3" t="s">
        <v>36</v>
      </c>
      <c r="C10" s="11">
        <f t="shared" si="2"/>
        <v>-20</v>
      </c>
      <c r="D10" s="11">
        <f t="shared" si="1"/>
        <v>-20</v>
      </c>
      <c r="E10" s="11">
        <f t="shared" si="1"/>
        <v>-20</v>
      </c>
      <c r="F10" s="11">
        <f t="shared" si="1"/>
        <v>-20</v>
      </c>
      <c r="G10" s="11">
        <f t="shared" si="1"/>
        <v>-20</v>
      </c>
    </row>
    <row r="11" spans="2:7" x14ac:dyDescent="0.15">
      <c r="B11" s="3" t="s">
        <v>37</v>
      </c>
      <c r="C11" s="11">
        <f t="shared" si="2"/>
        <v>-20</v>
      </c>
      <c r="D11" s="11">
        <f t="shared" si="1"/>
        <v>-20</v>
      </c>
      <c r="E11" s="11">
        <f t="shared" si="1"/>
        <v>-20</v>
      </c>
      <c r="F11" s="11">
        <f t="shared" si="1"/>
        <v>-20</v>
      </c>
      <c r="G11" s="11">
        <f t="shared" si="1"/>
        <v>-20</v>
      </c>
    </row>
    <row r="12" spans="2:7" s="6" customFormat="1" x14ac:dyDescent="0.15">
      <c r="B12" s="14" t="s">
        <v>38</v>
      </c>
      <c r="C12" s="15">
        <f>SUM(C6:C11)</f>
        <v>482</v>
      </c>
      <c r="D12" s="15">
        <f>SUM(D6:D11)</f>
        <v>518</v>
      </c>
      <c r="E12" s="15">
        <f>SUM(E6:E11)</f>
        <v>447</v>
      </c>
      <c r="F12" s="15">
        <f>SUM(F6:F11)</f>
        <v>498</v>
      </c>
      <c r="G12" s="15">
        <f>SUM(G6:G11)</f>
        <v>467</v>
      </c>
    </row>
    <row r="22" spans="4:8" x14ac:dyDescent="0.15">
      <c r="D22" s="11"/>
      <c r="E22" s="11"/>
      <c r="F22" s="11"/>
      <c r="G22" s="11"/>
      <c r="H22" s="11"/>
    </row>
    <row r="23" spans="4:8" x14ac:dyDescent="0.15">
      <c r="D23" s="11"/>
      <c r="E23" s="11"/>
      <c r="F23" s="11"/>
      <c r="G23" s="11"/>
      <c r="H23" s="11"/>
    </row>
    <row r="24" spans="4:8" x14ac:dyDescent="0.15">
      <c r="D24" s="11"/>
      <c r="E24" s="11"/>
      <c r="F24" s="11"/>
      <c r="G24" s="11"/>
      <c r="H24" s="11"/>
    </row>
    <row r="25" spans="4:8" x14ac:dyDescent="0.15">
      <c r="D25" s="11"/>
      <c r="E25" s="11"/>
      <c r="F25" s="11"/>
      <c r="G25" s="11"/>
      <c r="H25" s="11"/>
    </row>
    <row r="26" spans="4:8" x14ac:dyDescent="0.15">
      <c r="D26" s="11"/>
      <c r="E26" s="11"/>
      <c r="F26" s="11"/>
      <c r="G26" s="11"/>
      <c r="H26" s="1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DB67-2C18-D24E-A9C4-9FE50AE82B5E}">
  <dimension ref="B2:H35"/>
  <sheetViews>
    <sheetView zoomScaleNormal="100" workbookViewId="0">
      <selection activeCell="K56" sqref="K56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7" ht="18" x14ac:dyDescent="0.2">
      <c r="B2" s="5" t="s">
        <v>32</v>
      </c>
    </row>
    <row r="3" spans="2:7" ht="18" x14ac:dyDescent="0.2">
      <c r="B3" s="5"/>
    </row>
    <row r="4" spans="2:7" x14ac:dyDescent="0.15">
      <c r="B4" s="2" t="s">
        <v>0</v>
      </c>
      <c r="C4" s="1">
        <v>2019</v>
      </c>
      <c r="D4" s="1">
        <f>C4+1</f>
        <v>2020</v>
      </c>
      <c r="E4" s="1">
        <f t="shared" ref="E4:G4" si="0">D4+1</f>
        <v>2021</v>
      </c>
      <c r="F4" s="1">
        <f t="shared" si="0"/>
        <v>2022</v>
      </c>
      <c r="G4" s="1">
        <f t="shared" si="0"/>
        <v>2023</v>
      </c>
    </row>
    <row r="5" spans="2:7" x14ac:dyDescent="0.15">
      <c r="B5" s="8"/>
      <c r="C5" s="9"/>
      <c r="D5" s="9"/>
      <c r="E5" s="9"/>
      <c r="F5" s="9"/>
      <c r="G5" s="9"/>
    </row>
    <row r="6" spans="2:7" x14ac:dyDescent="0.15">
      <c r="B6" s="6" t="s">
        <v>49</v>
      </c>
      <c r="C6" s="9"/>
      <c r="D6" s="9"/>
      <c r="E6" s="9"/>
      <c r="F6" s="9"/>
      <c r="G6" s="9"/>
    </row>
    <row r="7" spans="2:7" x14ac:dyDescent="0.15">
      <c r="B7" s="3" t="s">
        <v>39</v>
      </c>
      <c r="C7" s="11">
        <v>610</v>
      </c>
      <c r="D7" s="11">
        <v>585</v>
      </c>
      <c r="E7" s="11">
        <v>690</v>
      </c>
      <c r="F7" s="11">
        <v>540</v>
      </c>
      <c r="G7" s="11">
        <v>674</v>
      </c>
    </row>
    <row r="8" spans="2:7" x14ac:dyDescent="0.15">
      <c r="B8" s="3" t="s">
        <v>40</v>
      </c>
      <c r="C8" s="11">
        <v>-50</v>
      </c>
      <c r="D8" s="11">
        <v>-50</v>
      </c>
      <c r="E8" s="11">
        <v>-50</v>
      </c>
      <c r="F8" s="11">
        <v>-50</v>
      </c>
      <c r="G8" s="11">
        <v>-50</v>
      </c>
    </row>
    <row r="9" spans="2:7" x14ac:dyDescent="0.15">
      <c r="B9" s="3" t="s">
        <v>41</v>
      </c>
      <c r="C9" s="11">
        <v>50</v>
      </c>
      <c r="D9" s="11">
        <v>50</v>
      </c>
      <c r="E9" s="11">
        <v>50</v>
      </c>
      <c r="F9" s="11">
        <v>50</v>
      </c>
      <c r="G9" s="11">
        <v>50</v>
      </c>
    </row>
    <row r="10" spans="2:7" s="6" customFormat="1" x14ac:dyDescent="0.15">
      <c r="B10" s="18" t="s">
        <v>42</v>
      </c>
      <c r="C10" s="13">
        <f>SUM(C7:C9)</f>
        <v>610</v>
      </c>
      <c r="D10" s="13">
        <f t="shared" ref="D10:G10" si="1">SUM(D7:D9)</f>
        <v>585</v>
      </c>
      <c r="E10" s="13">
        <f t="shared" si="1"/>
        <v>690</v>
      </c>
      <c r="F10" s="13">
        <f t="shared" si="1"/>
        <v>540</v>
      </c>
      <c r="G10" s="13">
        <f t="shared" si="1"/>
        <v>674</v>
      </c>
    </row>
    <row r="11" spans="2:7" s="6" customFormat="1" x14ac:dyDescent="0.15">
      <c r="C11" s="12"/>
      <c r="D11" s="12"/>
      <c r="E11" s="12"/>
      <c r="F11" s="12"/>
      <c r="G11" s="12"/>
    </row>
    <row r="12" spans="2:7" x14ac:dyDescent="0.15">
      <c r="B12" s="3" t="s">
        <v>43</v>
      </c>
      <c r="C12" s="11">
        <v>20</v>
      </c>
      <c r="D12" s="11">
        <v>20</v>
      </c>
      <c r="E12" s="11">
        <v>20</v>
      </c>
      <c r="F12" s="11">
        <v>20</v>
      </c>
      <c r="G12" s="11">
        <v>20</v>
      </c>
    </row>
    <row r="13" spans="2:7" x14ac:dyDescent="0.15">
      <c r="B13" s="3" t="s">
        <v>44</v>
      </c>
      <c r="C13" s="11">
        <v>20</v>
      </c>
      <c r="D13" s="11">
        <v>20</v>
      </c>
      <c r="E13" s="11">
        <v>20</v>
      </c>
      <c r="F13" s="11">
        <v>20</v>
      </c>
      <c r="G13" s="11">
        <v>20</v>
      </c>
    </row>
    <row r="14" spans="2:7" x14ac:dyDescent="0.15">
      <c r="B14" s="3" t="s">
        <v>45</v>
      </c>
      <c r="C14" s="11">
        <v>20</v>
      </c>
      <c r="D14" s="11">
        <v>20</v>
      </c>
      <c r="E14" s="11">
        <v>20</v>
      </c>
      <c r="F14" s="11">
        <v>20</v>
      </c>
      <c r="G14" s="11">
        <v>20</v>
      </c>
    </row>
    <row r="15" spans="2:7" x14ac:dyDescent="0.15">
      <c r="B15" s="3" t="s">
        <v>46</v>
      </c>
      <c r="C15" s="11">
        <v>20</v>
      </c>
      <c r="D15" s="11">
        <v>20</v>
      </c>
      <c r="E15" s="11">
        <v>20</v>
      </c>
      <c r="F15" s="11">
        <v>20</v>
      </c>
      <c r="G15" s="11">
        <v>20</v>
      </c>
    </row>
    <row r="16" spans="2:7" s="6" customFormat="1" x14ac:dyDescent="0.15">
      <c r="B16" s="18" t="s">
        <v>47</v>
      </c>
      <c r="C16" s="13">
        <f>SUM(C12:C15)</f>
        <v>80</v>
      </c>
      <c r="D16" s="13">
        <f t="shared" ref="D16:G16" si="2">SUM(D12:D15)</f>
        <v>80</v>
      </c>
      <c r="E16" s="13">
        <f t="shared" si="2"/>
        <v>80</v>
      </c>
      <c r="F16" s="13">
        <f t="shared" si="2"/>
        <v>80</v>
      </c>
      <c r="G16" s="13">
        <f t="shared" si="2"/>
        <v>80</v>
      </c>
    </row>
    <row r="18" spans="2:8" x14ac:dyDescent="0.15">
      <c r="B18" s="14" t="s">
        <v>48</v>
      </c>
      <c r="C18" s="15">
        <f>C10+C16</f>
        <v>690</v>
      </c>
      <c r="D18" s="15">
        <f t="shared" ref="D18:G18" si="3">D10+D16</f>
        <v>665</v>
      </c>
      <c r="E18" s="15">
        <f t="shared" si="3"/>
        <v>770</v>
      </c>
      <c r="F18" s="15">
        <f t="shared" si="3"/>
        <v>620</v>
      </c>
      <c r="G18" s="15">
        <f t="shared" si="3"/>
        <v>754</v>
      </c>
    </row>
    <row r="20" spans="2:8" s="6" customFormat="1" x14ac:dyDescent="0.15"/>
    <row r="21" spans="2:8" x14ac:dyDescent="0.15">
      <c r="B21" s="6" t="s">
        <v>51</v>
      </c>
    </row>
    <row r="22" spans="2:8" x14ac:dyDescent="0.15">
      <c r="B22" s="3" t="s">
        <v>52</v>
      </c>
      <c r="C22" s="11">
        <v>-100</v>
      </c>
      <c r="D22" s="11">
        <v>-100</v>
      </c>
      <c r="E22" s="11">
        <v>-100</v>
      </c>
      <c r="F22" s="11">
        <v>-100</v>
      </c>
      <c r="G22" s="11">
        <v>-100</v>
      </c>
    </row>
    <row r="23" spans="2:8" x14ac:dyDescent="0.15">
      <c r="B23" s="3" t="s">
        <v>53</v>
      </c>
      <c r="C23" s="11">
        <v>20</v>
      </c>
      <c r="D23" s="11">
        <v>20</v>
      </c>
      <c r="E23" s="11">
        <v>20</v>
      </c>
      <c r="F23" s="11">
        <v>20</v>
      </c>
      <c r="G23" s="11">
        <v>20</v>
      </c>
    </row>
    <row r="24" spans="2:8" x14ac:dyDescent="0.15">
      <c r="B24" s="14" t="s">
        <v>54</v>
      </c>
      <c r="C24" s="15">
        <f>SUM(C22:C23)</f>
        <v>-80</v>
      </c>
      <c r="D24" s="15">
        <f t="shared" ref="D24:G24" si="4">SUM(D22:D23)</f>
        <v>-80</v>
      </c>
      <c r="E24" s="15">
        <f t="shared" si="4"/>
        <v>-80</v>
      </c>
      <c r="F24" s="15">
        <f t="shared" si="4"/>
        <v>-80</v>
      </c>
      <c r="G24" s="15">
        <f t="shared" si="4"/>
        <v>-80</v>
      </c>
    </row>
    <row r="27" spans="2:8" x14ac:dyDescent="0.15">
      <c r="B27" s="6" t="s">
        <v>50</v>
      </c>
      <c r="H27" s="11"/>
    </row>
    <row r="28" spans="2:8" x14ac:dyDescent="0.15">
      <c r="B28" s="3" t="s">
        <v>55</v>
      </c>
      <c r="C28" s="11">
        <v>-100</v>
      </c>
      <c r="D28" s="11">
        <v>-100</v>
      </c>
      <c r="E28" s="11">
        <v>-100</v>
      </c>
      <c r="F28" s="11">
        <v>-100</v>
      </c>
      <c r="G28" s="11">
        <v>-100</v>
      </c>
      <c r="H28" s="11"/>
    </row>
    <row r="29" spans="2:8" x14ac:dyDescent="0.15">
      <c r="B29" s="3" t="s">
        <v>56</v>
      </c>
      <c r="C29" s="11">
        <v>100</v>
      </c>
      <c r="D29" s="11">
        <v>100</v>
      </c>
      <c r="E29" s="11">
        <v>100</v>
      </c>
      <c r="F29" s="11">
        <v>100</v>
      </c>
      <c r="G29" s="11">
        <v>100</v>
      </c>
      <c r="H29" s="11"/>
    </row>
    <row r="30" spans="2:8" x14ac:dyDescent="0.15">
      <c r="B30" s="3" t="s">
        <v>57</v>
      </c>
      <c r="C30" s="11">
        <v>-200</v>
      </c>
      <c r="D30" s="11">
        <v>-200</v>
      </c>
      <c r="E30" s="11">
        <v>-200</v>
      </c>
      <c r="F30" s="11">
        <v>-200</v>
      </c>
      <c r="G30" s="11">
        <v>-200</v>
      </c>
      <c r="H30" s="11"/>
    </row>
    <row r="31" spans="2:8" x14ac:dyDescent="0.15">
      <c r="B31" s="3" t="s">
        <v>58</v>
      </c>
      <c r="C31" s="11">
        <v>-50</v>
      </c>
      <c r="D31" s="11">
        <v>-50</v>
      </c>
      <c r="E31" s="11">
        <v>-50</v>
      </c>
      <c r="F31" s="11">
        <v>-50</v>
      </c>
      <c r="G31" s="11">
        <v>-50</v>
      </c>
      <c r="H31" s="11"/>
    </row>
    <row r="32" spans="2:8" x14ac:dyDescent="0.15">
      <c r="B32" s="14" t="s">
        <v>59</v>
      </c>
      <c r="C32" s="15">
        <f>SUM(C28:C31)</f>
        <v>-250</v>
      </c>
      <c r="D32" s="15">
        <f t="shared" ref="D32:G32" si="5">SUM(D28:D31)</f>
        <v>-250</v>
      </c>
      <c r="E32" s="15">
        <f t="shared" si="5"/>
        <v>-250</v>
      </c>
      <c r="F32" s="15">
        <f t="shared" si="5"/>
        <v>-250</v>
      </c>
      <c r="G32" s="15">
        <f t="shared" si="5"/>
        <v>-250</v>
      </c>
    </row>
    <row r="35" spans="2:7" x14ac:dyDescent="0.15">
      <c r="B35" s="14" t="s">
        <v>60</v>
      </c>
      <c r="C35" s="15">
        <f>C18+C24+C32</f>
        <v>360</v>
      </c>
      <c r="D35" s="15">
        <f t="shared" ref="D35:G35" si="6">D18+D24+D32</f>
        <v>335</v>
      </c>
      <c r="E35" s="15">
        <f t="shared" si="6"/>
        <v>440</v>
      </c>
      <c r="F35" s="15">
        <f t="shared" si="6"/>
        <v>290</v>
      </c>
      <c r="G35" s="15">
        <f t="shared" si="6"/>
        <v>424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05AE-4014-EE42-B42F-3E7FFEDD6C5C}">
  <dimension ref="B2:H38"/>
  <sheetViews>
    <sheetView zoomScale="118" zoomScaleNormal="100" workbookViewId="0">
      <selection activeCell="B2" sqref="B2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7" ht="18" x14ac:dyDescent="0.2">
      <c r="B2" s="5" t="s">
        <v>19</v>
      </c>
    </row>
    <row r="3" spans="2:7" ht="18" x14ac:dyDescent="0.2">
      <c r="B3" s="5"/>
    </row>
    <row r="4" spans="2:7" x14ac:dyDescent="0.15">
      <c r="B4" s="2" t="s">
        <v>0</v>
      </c>
      <c r="C4" s="1">
        <v>2019</v>
      </c>
      <c r="D4" s="1">
        <f>C4+1</f>
        <v>2020</v>
      </c>
      <c r="E4" s="1">
        <f t="shared" ref="E4" si="0">D4+1</f>
        <v>2021</v>
      </c>
      <c r="F4" s="1">
        <f t="shared" ref="F4" si="1">E4+1</f>
        <v>2022</v>
      </c>
      <c r="G4" s="1">
        <f t="shared" ref="G4" si="2">F4+1</f>
        <v>2023</v>
      </c>
    </row>
    <row r="5" spans="2:7" x14ac:dyDescent="0.15">
      <c r="B5" s="8"/>
      <c r="C5" s="9"/>
      <c r="D5" s="9"/>
      <c r="E5" s="9"/>
      <c r="F5" s="9"/>
      <c r="G5" s="9"/>
    </row>
    <row r="6" spans="2:7" x14ac:dyDescent="0.15">
      <c r="B6" s="3" t="s">
        <v>1</v>
      </c>
      <c r="C6" s="11">
        <v>400</v>
      </c>
      <c r="D6" s="11">
        <v>341</v>
      </c>
      <c r="E6" s="11">
        <v>212</v>
      </c>
      <c r="F6" s="11">
        <v>158</v>
      </c>
      <c r="G6" s="11">
        <v>388</v>
      </c>
    </row>
    <row r="7" spans="2:7" s="7" customFormat="1" x14ac:dyDescent="0.15">
      <c r="B7" s="3" t="s">
        <v>2</v>
      </c>
      <c r="C7" s="11">
        <v>110</v>
      </c>
      <c r="D7" s="11">
        <v>119</v>
      </c>
      <c r="E7" s="11">
        <v>353</v>
      </c>
      <c r="F7" s="11">
        <v>282</v>
      </c>
      <c r="G7" s="11">
        <v>431</v>
      </c>
    </row>
    <row r="8" spans="2:7" x14ac:dyDescent="0.15">
      <c r="B8" s="10" t="s">
        <v>3</v>
      </c>
      <c r="C8" s="11">
        <v>-337</v>
      </c>
      <c r="D8" s="11">
        <v>-456</v>
      </c>
      <c r="E8" s="11">
        <v>-197</v>
      </c>
      <c r="F8" s="11">
        <v>-192</v>
      </c>
      <c r="G8" s="11">
        <v>-201</v>
      </c>
    </row>
    <row r="9" spans="2:7" s="6" customFormat="1" x14ac:dyDescent="0.15">
      <c r="B9" s="6" t="s">
        <v>10</v>
      </c>
      <c r="C9" s="13">
        <f>SUM(C6:C8)</f>
        <v>173</v>
      </c>
      <c r="D9" s="13">
        <f t="shared" ref="D9:G9" si="3">SUM(D6:D8)</f>
        <v>4</v>
      </c>
      <c r="E9" s="13">
        <f t="shared" si="3"/>
        <v>368</v>
      </c>
      <c r="F9" s="13">
        <f t="shared" si="3"/>
        <v>248</v>
      </c>
      <c r="G9" s="13">
        <f t="shared" si="3"/>
        <v>618</v>
      </c>
    </row>
    <row r="10" spans="2:7" s="6" customFormat="1" x14ac:dyDescent="0.15">
      <c r="C10" s="12"/>
      <c r="D10" s="12"/>
      <c r="E10" s="12"/>
      <c r="F10" s="12"/>
      <c r="G10" s="12"/>
    </row>
    <row r="11" spans="2:7" x14ac:dyDescent="0.15">
      <c r="B11" s="3" t="s">
        <v>4</v>
      </c>
      <c r="C11" s="11">
        <f>-20</f>
        <v>-20</v>
      </c>
      <c r="D11" s="11">
        <f t="shared" ref="D11:G14" si="4">-20</f>
        <v>-20</v>
      </c>
      <c r="E11" s="11">
        <f t="shared" si="4"/>
        <v>-20</v>
      </c>
      <c r="F11" s="11">
        <f t="shared" si="4"/>
        <v>-20</v>
      </c>
      <c r="G11" s="11">
        <f t="shared" si="4"/>
        <v>-20</v>
      </c>
    </row>
    <row r="12" spans="2:7" x14ac:dyDescent="0.15">
      <c r="B12" s="3" t="s">
        <v>6</v>
      </c>
      <c r="C12" s="11">
        <f t="shared" ref="C12:C14" si="5">-20</f>
        <v>-20</v>
      </c>
      <c r="D12" s="11">
        <f t="shared" si="4"/>
        <v>-20</v>
      </c>
      <c r="E12" s="11">
        <f t="shared" si="4"/>
        <v>-20</v>
      </c>
      <c r="F12" s="11">
        <f t="shared" si="4"/>
        <v>-20</v>
      </c>
      <c r="G12" s="11">
        <f t="shared" si="4"/>
        <v>-20</v>
      </c>
    </row>
    <row r="13" spans="2:7" x14ac:dyDescent="0.15">
      <c r="B13" s="3" t="s">
        <v>7</v>
      </c>
      <c r="C13" s="11">
        <f t="shared" si="5"/>
        <v>-20</v>
      </c>
      <c r="D13" s="11">
        <f t="shared" si="4"/>
        <v>-20</v>
      </c>
      <c r="E13" s="11">
        <f t="shared" si="4"/>
        <v>-20</v>
      </c>
      <c r="F13" s="11">
        <f t="shared" si="4"/>
        <v>-20</v>
      </c>
      <c r="G13" s="11">
        <f t="shared" si="4"/>
        <v>-20</v>
      </c>
    </row>
    <row r="14" spans="2:7" x14ac:dyDescent="0.15">
      <c r="B14" s="3" t="s">
        <v>8</v>
      </c>
      <c r="C14" s="11">
        <f t="shared" si="5"/>
        <v>-20</v>
      </c>
      <c r="D14" s="11">
        <f t="shared" si="4"/>
        <v>-20</v>
      </c>
      <c r="E14" s="11">
        <f t="shared" si="4"/>
        <v>-20</v>
      </c>
      <c r="F14" s="11">
        <f t="shared" si="4"/>
        <v>-20</v>
      </c>
      <c r="G14" s="11">
        <f t="shared" si="4"/>
        <v>-20</v>
      </c>
    </row>
    <row r="15" spans="2:7" s="7" customFormat="1" x14ac:dyDescent="0.15">
      <c r="B15" s="3" t="s">
        <v>5</v>
      </c>
      <c r="C15" s="11">
        <v>100</v>
      </c>
      <c r="D15" s="11">
        <v>100</v>
      </c>
      <c r="E15" s="11">
        <v>100</v>
      </c>
      <c r="F15" s="11">
        <v>100</v>
      </c>
      <c r="G15" s="11">
        <v>100</v>
      </c>
    </row>
    <row r="16" spans="2:7" s="6" customFormat="1" x14ac:dyDescent="0.15">
      <c r="B16" s="14" t="s">
        <v>11</v>
      </c>
      <c r="C16" s="15">
        <f>SUM(C9:C15)</f>
        <v>193</v>
      </c>
      <c r="D16" s="15">
        <f t="shared" ref="D16:G16" si="6">SUM(D9:D15)</f>
        <v>24</v>
      </c>
      <c r="E16" s="15">
        <f t="shared" si="6"/>
        <v>388</v>
      </c>
      <c r="F16" s="15">
        <f t="shared" si="6"/>
        <v>268</v>
      </c>
      <c r="G16" s="15">
        <f t="shared" si="6"/>
        <v>638</v>
      </c>
    </row>
    <row r="18" spans="2:7" x14ac:dyDescent="0.15">
      <c r="B18" s="16" t="s">
        <v>13</v>
      </c>
      <c r="C18" s="17"/>
      <c r="D18" s="17"/>
      <c r="E18" s="17"/>
      <c r="F18" s="17"/>
      <c r="G18" s="17"/>
    </row>
    <row r="19" spans="2:7" x14ac:dyDescent="0.15">
      <c r="B19" s="3" t="s">
        <v>12</v>
      </c>
      <c r="C19" s="11">
        <v>10</v>
      </c>
      <c r="D19" s="11">
        <v>10</v>
      </c>
      <c r="E19" s="11">
        <v>10</v>
      </c>
      <c r="F19" s="11">
        <v>10</v>
      </c>
      <c r="G19" s="11">
        <v>10</v>
      </c>
    </row>
    <row r="20" spans="2:7" x14ac:dyDescent="0.15">
      <c r="B20" s="3" t="s">
        <v>14</v>
      </c>
      <c r="C20" s="11">
        <f t="shared" ref="C20:G20" si="7">-20</f>
        <v>-20</v>
      </c>
      <c r="D20" s="11">
        <f t="shared" si="7"/>
        <v>-20</v>
      </c>
      <c r="E20" s="11">
        <f t="shared" si="7"/>
        <v>-20</v>
      </c>
      <c r="F20" s="11">
        <f t="shared" si="7"/>
        <v>-20</v>
      </c>
      <c r="G20" s="11">
        <f t="shared" si="7"/>
        <v>-20</v>
      </c>
    </row>
    <row r="21" spans="2:7" x14ac:dyDescent="0.15">
      <c r="B21" s="3" t="s">
        <v>15</v>
      </c>
      <c r="C21" s="11">
        <v>30</v>
      </c>
      <c r="D21" s="11">
        <v>30</v>
      </c>
      <c r="E21" s="11">
        <v>30</v>
      </c>
      <c r="F21" s="11">
        <v>30</v>
      </c>
      <c r="G21" s="11">
        <v>30</v>
      </c>
    </row>
    <row r="22" spans="2:7" x14ac:dyDescent="0.15">
      <c r="B22" s="3" t="s">
        <v>16</v>
      </c>
      <c r="C22" s="11">
        <v>-10</v>
      </c>
      <c r="D22" s="11">
        <v>-10</v>
      </c>
      <c r="E22" s="11">
        <v>-10</v>
      </c>
      <c r="F22" s="11">
        <v>-10</v>
      </c>
      <c r="G22" s="11">
        <v>-10</v>
      </c>
    </row>
    <row r="23" spans="2:7" x14ac:dyDescent="0.15">
      <c r="B23" s="18" t="s">
        <v>17</v>
      </c>
      <c r="C23" s="13">
        <f>SUM(C19:C22)</f>
        <v>10</v>
      </c>
      <c r="D23" s="13">
        <f t="shared" ref="D23:G23" si="8">SUM(D19:D22)</f>
        <v>10</v>
      </c>
      <c r="E23" s="13">
        <f t="shared" si="8"/>
        <v>10</v>
      </c>
      <c r="F23" s="13">
        <f t="shared" si="8"/>
        <v>10</v>
      </c>
      <c r="G23" s="13">
        <f t="shared" si="8"/>
        <v>10</v>
      </c>
    </row>
    <row r="25" spans="2:7" x14ac:dyDescent="0.15">
      <c r="B25" s="14" t="s">
        <v>18</v>
      </c>
      <c r="C25" s="15">
        <f>C16+C23</f>
        <v>203</v>
      </c>
      <c r="D25" s="15">
        <f t="shared" ref="D25:G25" si="9">D16+D23</f>
        <v>34</v>
      </c>
      <c r="E25" s="15">
        <f t="shared" si="9"/>
        <v>398</v>
      </c>
      <c r="F25" s="15">
        <f t="shared" si="9"/>
        <v>278</v>
      </c>
      <c r="G25" s="15">
        <f t="shared" si="9"/>
        <v>648</v>
      </c>
    </row>
    <row r="34" spans="4:8" x14ac:dyDescent="0.15">
      <c r="D34" s="11"/>
      <c r="E34" s="11"/>
      <c r="F34" s="11"/>
      <c r="G34" s="11"/>
      <c r="H34" s="11"/>
    </row>
    <row r="35" spans="4:8" x14ac:dyDescent="0.15">
      <c r="D35" s="11"/>
      <c r="E35" s="11"/>
      <c r="F35" s="11"/>
      <c r="G35" s="11"/>
      <c r="H35" s="11"/>
    </row>
    <row r="36" spans="4:8" x14ac:dyDescent="0.15">
      <c r="D36" s="11"/>
      <c r="E36" s="11"/>
      <c r="F36" s="11"/>
      <c r="G36" s="11"/>
      <c r="H36" s="11"/>
    </row>
    <row r="37" spans="4:8" x14ac:dyDescent="0.15">
      <c r="D37" s="11"/>
      <c r="E37" s="11"/>
      <c r="F37" s="11"/>
      <c r="G37" s="11"/>
      <c r="H37" s="11"/>
    </row>
    <row r="38" spans="4:8" x14ac:dyDescent="0.15">
      <c r="D38" s="11"/>
      <c r="E38" s="11"/>
      <c r="F38" s="11"/>
      <c r="G38" s="11"/>
      <c r="H38" s="11"/>
    </row>
  </sheetData>
  <conditionalFormatting sqref="C19:F19">
    <cfRule type="containsText" dxfId="3" priority="1" operator="containsText" text="Yes">
      <formula>NOT(ISERROR(SEARCH("Yes",C19)))</formula>
    </cfRule>
    <cfRule type="containsText" dxfId="2" priority="2" operator="containsText" text="No">
      <formula>NOT(ISERROR(SEARCH("No",C19)))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FC2D-48CF-D549-9B51-73EA6480670A}">
  <dimension ref="B2:Q39"/>
  <sheetViews>
    <sheetView zoomScale="118" zoomScaleNormal="100" workbookViewId="0">
      <selection activeCell="E60" sqref="E60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17" ht="18" x14ac:dyDescent="0.2">
      <c r="B2" s="5" t="s">
        <v>9</v>
      </c>
    </row>
    <row r="3" spans="2:17" ht="18" x14ac:dyDescent="0.2">
      <c r="B3" s="5"/>
    </row>
    <row r="4" spans="2:17" x14ac:dyDescent="0.15">
      <c r="B4" s="2" t="s">
        <v>0</v>
      </c>
      <c r="C4" s="21">
        <v>2022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>
        <v>2023</v>
      </c>
      <c r="P4" s="21"/>
      <c r="Q4" s="21"/>
    </row>
    <row r="5" spans="2:17" x14ac:dyDescent="0.15">
      <c r="B5" s="2"/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20</v>
      </c>
      <c r="P5" s="1" t="s">
        <v>21</v>
      </c>
      <c r="Q5" s="1" t="s">
        <v>22</v>
      </c>
    </row>
    <row r="6" spans="2:17" x14ac:dyDescent="0.1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x14ac:dyDescent="0.15">
      <c r="B7" s="3" t="s">
        <v>1</v>
      </c>
      <c r="C7" s="11">
        <v>400</v>
      </c>
      <c r="D7" s="11">
        <v>341</v>
      </c>
      <c r="E7" s="11">
        <v>212</v>
      </c>
      <c r="F7" s="11">
        <v>158</v>
      </c>
      <c r="G7" s="11">
        <v>388</v>
      </c>
      <c r="H7" s="11">
        <v>426.8</v>
      </c>
      <c r="I7" s="11">
        <v>469.48000000000008</v>
      </c>
      <c r="J7" s="11">
        <v>516.42800000000011</v>
      </c>
      <c r="K7" s="11">
        <v>568.07080000000019</v>
      </c>
      <c r="L7" s="11">
        <v>624.87788000000023</v>
      </c>
      <c r="M7" s="11">
        <v>687.36566800000026</v>
      </c>
      <c r="N7" s="11">
        <v>756.10223480000036</v>
      </c>
      <c r="O7" s="11">
        <v>831.71245828000042</v>
      </c>
      <c r="P7" s="11">
        <v>914.88370410800053</v>
      </c>
      <c r="Q7" s="11">
        <v>1006.3720745188007</v>
      </c>
    </row>
    <row r="8" spans="2:17" s="7" customFormat="1" x14ac:dyDescent="0.15">
      <c r="B8" s="3" t="s">
        <v>2</v>
      </c>
      <c r="C8" s="11">
        <v>110</v>
      </c>
      <c r="D8" s="11">
        <v>119</v>
      </c>
      <c r="E8" s="11">
        <v>353</v>
      </c>
      <c r="F8" s="11">
        <v>282</v>
      </c>
      <c r="G8" s="11">
        <v>431</v>
      </c>
      <c r="H8" s="11">
        <v>474.1</v>
      </c>
      <c r="I8" s="11">
        <v>521.5100000000001</v>
      </c>
      <c r="J8" s="11">
        <v>573.66100000000017</v>
      </c>
      <c r="K8" s="11">
        <v>631.02710000000025</v>
      </c>
      <c r="L8" s="11">
        <v>694.12981000000036</v>
      </c>
      <c r="M8" s="11">
        <v>763.54279100000042</v>
      </c>
      <c r="N8" s="11">
        <v>839.89707010000052</v>
      </c>
      <c r="O8" s="11">
        <v>923.88677711000059</v>
      </c>
      <c r="P8" s="11">
        <v>1016.2754548210007</v>
      </c>
      <c r="Q8" s="11">
        <v>1117.903000303101</v>
      </c>
    </row>
    <row r="9" spans="2:17" x14ac:dyDescent="0.15">
      <c r="B9" s="10" t="s">
        <v>3</v>
      </c>
      <c r="C9" s="11">
        <v>-337</v>
      </c>
      <c r="D9" s="11">
        <v>-456</v>
      </c>
      <c r="E9" s="11">
        <v>-197</v>
      </c>
      <c r="F9" s="11">
        <v>-192</v>
      </c>
      <c r="G9" s="11">
        <v>-201</v>
      </c>
      <c r="H9" s="11">
        <v>-221.10000000000002</v>
      </c>
      <c r="I9" s="11">
        <v>-243.21000000000004</v>
      </c>
      <c r="J9" s="11">
        <v>-267.53100000000006</v>
      </c>
      <c r="K9" s="11">
        <v>-294.28410000000008</v>
      </c>
      <c r="L9" s="11">
        <v>-323.71251000000012</v>
      </c>
      <c r="M9" s="11">
        <v>-356.08376100000015</v>
      </c>
      <c r="N9" s="11">
        <v>-391.6921371000002</v>
      </c>
      <c r="O9" s="11">
        <v>-430.86135081000026</v>
      </c>
      <c r="P9" s="11">
        <v>-473.94748589100033</v>
      </c>
      <c r="Q9" s="11">
        <v>-521.34223448010039</v>
      </c>
    </row>
    <row r="10" spans="2:17" s="6" customFormat="1" x14ac:dyDescent="0.15">
      <c r="B10" s="6" t="s">
        <v>10</v>
      </c>
      <c r="C10" s="13">
        <f>SUM(C7:C9)</f>
        <v>173</v>
      </c>
      <c r="D10" s="13">
        <f t="shared" ref="D10:G10" si="0">SUM(D7:D9)</f>
        <v>4</v>
      </c>
      <c r="E10" s="13">
        <f t="shared" si="0"/>
        <v>368</v>
      </c>
      <c r="F10" s="13">
        <f t="shared" si="0"/>
        <v>248</v>
      </c>
      <c r="G10" s="13">
        <f t="shared" si="0"/>
        <v>618</v>
      </c>
      <c r="H10" s="13">
        <f t="shared" ref="H10:Q10" si="1">SUM(H7:H9)</f>
        <v>679.80000000000007</v>
      </c>
      <c r="I10" s="13">
        <f t="shared" si="1"/>
        <v>747.7800000000002</v>
      </c>
      <c r="J10" s="13">
        <f t="shared" si="1"/>
        <v>822.55800000000033</v>
      </c>
      <c r="K10" s="13">
        <f t="shared" si="1"/>
        <v>904.81380000000036</v>
      </c>
      <c r="L10" s="13">
        <f t="shared" si="1"/>
        <v>995.29518000000053</v>
      </c>
      <c r="M10" s="13">
        <f t="shared" si="1"/>
        <v>1094.8246980000006</v>
      </c>
      <c r="N10" s="13">
        <f t="shared" si="1"/>
        <v>1204.3071678000006</v>
      </c>
      <c r="O10" s="13">
        <f t="shared" si="1"/>
        <v>1324.7378845800008</v>
      </c>
      <c r="P10" s="13">
        <f t="shared" si="1"/>
        <v>1457.211673038001</v>
      </c>
      <c r="Q10" s="13">
        <f t="shared" si="1"/>
        <v>1602.932840341801</v>
      </c>
    </row>
    <row r="11" spans="2:17" s="6" customFormat="1" x14ac:dyDescent="0.15"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2:17" x14ac:dyDescent="0.15">
      <c r="B12" s="3" t="s">
        <v>4</v>
      </c>
      <c r="C12" s="11">
        <f>-20</f>
        <v>-20</v>
      </c>
      <c r="D12" s="11">
        <f t="shared" ref="D12:Q15" si="2">-20</f>
        <v>-20</v>
      </c>
      <c r="E12" s="11">
        <f t="shared" si="2"/>
        <v>-20</v>
      </c>
      <c r="F12" s="11">
        <f t="shared" si="2"/>
        <v>-20</v>
      </c>
      <c r="G12" s="11">
        <f t="shared" si="2"/>
        <v>-20</v>
      </c>
      <c r="H12" s="11">
        <f t="shared" si="2"/>
        <v>-20</v>
      </c>
      <c r="I12" s="11">
        <f t="shared" si="2"/>
        <v>-20</v>
      </c>
      <c r="J12" s="11">
        <f t="shared" si="2"/>
        <v>-20</v>
      </c>
      <c r="K12" s="11">
        <f t="shared" si="2"/>
        <v>-20</v>
      </c>
      <c r="L12" s="11">
        <f t="shared" si="2"/>
        <v>-20</v>
      </c>
      <c r="M12" s="11">
        <f t="shared" si="2"/>
        <v>-20</v>
      </c>
      <c r="N12" s="11">
        <f t="shared" si="2"/>
        <v>-20</v>
      </c>
      <c r="O12" s="11">
        <f t="shared" si="2"/>
        <v>-20</v>
      </c>
      <c r="P12" s="11">
        <f t="shared" si="2"/>
        <v>-20</v>
      </c>
      <c r="Q12" s="11">
        <f t="shared" si="2"/>
        <v>-20</v>
      </c>
    </row>
    <row r="13" spans="2:17" x14ac:dyDescent="0.15">
      <c r="B13" s="3" t="s">
        <v>6</v>
      </c>
      <c r="C13" s="11">
        <f t="shared" ref="C13:C15" si="3">-20</f>
        <v>-20</v>
      </c>
      <c r="D13" s="11">
        <f t="shared" si="2"/>
        <v>-20</v>
      </c>
      <c r="E13" s="11">
        <f t="shared" si="2"/>
        <v>-20</v>
      </c>
      <c r="F13" s="11">
        <f t="shared" si="2"/>
        <v>-20</v>
      </c>
      <c r="G13" s="11">
        <f t="shared" si="2"/>
        <v>-20</v>
      </c>
      <c r="H13" s="11">
        <f t="shared" si="2"/>
        <v>-20</v>
      </c>
      <c r="I13" s="11">
        <f t="shared" si="2"/>
        <v>-20</v>
      </c>
      <c r="J13" s="11">
        <f t="shared" si="2"/>
        <v>-20</v>
      </c>
      <c r="K13" s="11">
        <f t="shared" si="2"/>
        <v>-20</v>
      </c>
      <c r="L13" s="11">
        <f t="shared" si="2"/>
        <v>-20</v>
      </c>
      <c r="M13" s="11">
        <f t="shared" si="2"/>
        <v>-20</v>
      </c>
      <c r="N13" s="11">
        <f t="shared" si="2"/>
        <v>-20</v>
      </c>
      <c r="O13" s="11">
        <f t="shared" si="2"/>
        <v>-20</v>
      </c>
      <c r="P13" s="11">
        <f t="shared" si="2"/>
        <v>-20</v>
      </c>
      <c r="Q13" s="11">
        <f t="shared" si="2"/>
        <v>-20</v>
      </c>
    </row>
    <row r="14" spans="2:17" x14ac:dyDescent="0.15">
      <c r="B14" s="3" t="s">
        <v>7</v>
      </c>
      <c r="C14" s="11">
        <f t="shared" si="3"/>
        <v>-20</v>
      </c>
      <c r="D14" s="11">
        <f t="shared" si="2"/>
        <v>-20</v>
      </c>
      <c r="E14" s="11">
        <f t="shared" si="2"/>
        <v>-20</v>
      </c>
      <c r="F14" s="11">
        <f t="shared" si="2"/>
        <v>-20</v>
      </c>
      <c r="G14" s="11">
        <f t="shared" si="2"/>
        <v>-20</v>
      </c>
      <c r="H14" s="11">
        <f t="shared" si="2"/>
        <v>-20</v>
      </c>
      <c r="I14" s="11">
        <f t="shared" si="2"/>
        <v>-20</v>
      </c>
      <c r="J14" s="11">
        <f t="shared" si="2"/>
        <v>-20</v>
      </c>
      <c r="K14" s="11">
        <f t="shared" si="2"/>
        <v>-20</v>
      </c>
      <c r="L14" s="11">
        <f t="shared" si="2"/>
        <v>-20</v>
      </c>
      <c r="M14" s="11">
        <f t="shared" si="2"/>
        <v>-20</v>
      </c>
      <c r="N14" s="11">
        <f t="shared" si="2"/>
        <v>-20</v>
      </c>
      <c r="O14" s="11">
        <f t="shared" si="2"/>
        <v>-20</v>
      </c>
      <c r="P14" s="11">
        <f t="shared" si="2"/>
        <v>-20</v>
      </c>
      <c r="Q14" s="11">
        <f t="shared" si="2"/>
        <v>-20</v>
      </c>
    </row>
    <row r="15" spans="2:17" x14ac:dyDescent="0.15">
      <c r="B15" s="3" t="s">
        <v>8</v>
      </c>
      <c r="C15" s="11">
        <f t="shared" si="3"/>
        <v>-20</v>
      </c>
      <c r="D15" s="11">
        <f t="shared" si="2"/>
        <v>-20</v>
      </c>
      <c r="E15" s="11">
        <f t="shared" si="2"/>
        <v>-20</v>
      </c>
      <c r="F15" s="11">
        <f t="shared" si="2"/>
        <v>-20</v>
      </c>
      <c r="G15" s="11">
        <f t="shared" si="2"/>
        <v>-20</v>
      </c>
      <c r="H15" s="11">
        <f t="shared" si="2"/>
        <v>-20</v>
      </c>
      <c r="I15" s="11">
        <f t="shared" si="2"/>
        <v>-20</v>
      </c>
      <c r="J15" s="11">
        <f t="shared" si="2"/>
        <v>-20</v>
      </c>
      <c r="K15" s="11">
        <f t="shared" si="2"/>
        <v>-20</v>
      </c>
      <c r="L15" s="11">
        <f t="shared" si="2"/>
        <v>-20</v>
      </c>
      <c r="M15" s="11">
        <f t="shared" si="2"/>
        <v>-20</v>
      </c>
      <c r="N15" s="11">
        <f t="shared" si="2"/>
        <v>-20</v>
      </c>
      <c r="O15" s="11">
        <f t="shared" si="2"/>
        <v>-20</v>
      </c>
      <c r="P15" s="11">
        <f t="shared" si="2"/>
        <v>-20</v>
      </c>
      <c r="Q15" s="11">
        <f t="shared" si="2"/>
        <v>-20</v>
      </c>
    </row>
    <row r="16" spans="2:17" s="7" customFormat="1" x14ac:dyDescent="0.15">
      <c r="B16" s="3" t="s">
        <v>5</v>
      </c>
      <c r="C16" s="11">
        <v>100</v>
      </c>
      <c r="D16" s="11">
        <v>100</v>
      </c>
      <c r="E16" s="11">
        <v>100</v>
      </c>
      <c r="F16" s="11">
        <v>100</v>
      </c>
      <c r="G16" s="11">
        <v>100</v>
      </c>
      <c r="H16" s="11">
        <v>100</v>
      </c>
      <c r="I16" s="11">
        <v>100</v>
      </c>
      <c r="J16" s="11">
        <v>100</v>
      </c>
      <c r="K16" s="11">
        <v>100</v>
      </c>
      <c r="L16" s="11">
        <v>100</v>
      </c>
      <c r="M16" s="11">
        <v>100</v>
      </c>
      <c r="N16" s="11">
        <v>100</v>
      </c>
      <c r="O16" s="11">
        <v>100</v>
      </c>
      <c r="P16" s="11">
        <v>100</v>
      </c>
      <c r="Q16" s="11">
        <v>100</v>
      </c>
    </row>
    <row r="17" spans="2:17" s="6" customFormat="1" x14ac:dyDescent="0.15">
      <c r="B17" s="14" t="s">
        <v>11</v>
      </c>
      <c r="C17" s="15">
        <f>SUM(C10:C16)</f>
        <v>193</v>
      </c>
      <c r="D17" s="15">
        <f t="shared" ref="D17:G17" si="4">SUM(D10:D16)</f>
        <v>24</v>
      </c>
      <c r="E17" s="15">
        <f t="shared" si="4"/>
        <v>388</v>
      </c>
      <c r="F17" s="15">
        <f t="shared" si="4"/>
        <v>268</v>
      </c>
      <c r="G17" s="15">
        <f t="shared" si="4"/>
        <v>638</v>
      </c>
      <c r="H17" s="15">
        <f t="shared" ref="H17" si="5">SUM(H10:H16)</f>
        <v>699.80000000000007</v>
      </c>
      <c r="I17" s="15">
        <f t="shared" ref="I17" si="6">SUM(I10:I16)</f>
        <v>767.7800000000002</v>
      </c>
      <c r="J17" s="15">
        <f t="shared" ref="J17" si="7">SUM(J10:J16)</f>
        <v>842.55800000000033</v>
      </c>
      <c r="K17" s="15">
        <f t="shared" ref="K17" si="8">SUM(K10:K16)</f>
        <v>924.81380000000036</v>
      </c>
      <c r="L17" s="15">
        <f t="shared" ref="L17" si="9">SUM(L10:L16)</f>
        <v>1015.2951800000005</v>
      </c>
      <c r="M17" s="15">
        <f t="shared" ref="M17" si="10">SUM(M10:M16)</f>
        <v>1114.8246980000006</v>
      </c>
      <c r="N17" s="15">
        <f t="shared" ref="N17" si="11">SUM(N10:N16)</f>
        <v>1224.3071678000006</v>
      </c>
      <c r="O17" s="15">
        <f t="shared" ref="O17" si="12">SUM(O10:O16)</f>
        <v>1344.7378845800008</v>
      </c>
      <c r="P17" s="15">
        <f t="shared" ref="P17" si="13">SUM(P10:P16)</f>
        <v>1477.211673038001</v>
      </c>
      <c r="Q17" s="15">
        <f t="shared" ref="Q17" si="14">SUM(Q10:Q16)</f>
        <v>1622.932840341801</v>
      </c>
    </row>
    <row r="18" spans="2:17" x14ac:dyDescent="0.15"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x14ac:dyDescent="0.15">
      <c r="B19" s="16" t="s">
        <v>13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2:17" x14ac:dyDescent="0.15">
      <c r="B20" s="3" t="s">
        <v>12</v>
      </c>
      <c r="C20" s="11">
        <v>10</v>
      </c>
      <c r="D20" s="11">
        <v>10</v>
      </c>
      <c r="E20" s="11">
        <v>10</v>
      </c>
      <c r="F20" s="11">
        <v>10</v>
      </c>
      <c r="G20" s="11">
        <v>10</v>
      </c>
      <c r="H20" s="11">
        <v>10</v>
      </c>
      <c r="I20" s="11">
        <v>10</v>
      </c>
      <c r="J20" s="11">
        <v>10</v>
      </c>
      <c r="K20" s="11">
        <v>10</v>
      </c>
      <c r="L20" s="11">
        <v>10</v>
      </c>
      <c r="M20" s="11">
        <v>10</v>
      </c>
      <c r="N20" s="11">
        <v>10</v>
      </c>
      <c r="O20" s="11">
        <v>10</v>
      </c>
      <c r="P20" s="11">
        <v>10</v>
      </c>
      <c r="Q20" s="11">
        <v>10</v>
      </c>
    </row>
    <row r="21" spans="2:17" x14ac:dyDescent="0.15">
      <c r="B21" s="3" t="s">
        <v>14</v>
      </c>
      <c r="C21" s="11">
        <f t="shared" ref="C21:Q21" si="15">-20</f>
        <v>-20</v>
      </c>
      <c r="D21" s="11">
        <f t="shared" si="15"/>
        <v>-20</v>
      </c>
      <c r="E21" s="11">
        <f t="shared" si="15"/>
        <v>-20</v>
      </c>
      <c r="F21" s="11">
        <f t="shared" si="15"/>
        <v>-20</v>
      </c>
      <c r="G21" s="11">
        <f t="shared" si="15"/>
        <v>-20</v>
      </c>
      <c r="H21" s="11">
        <f t="shared" si="15"/>
        <v>-20</v>
      </c>
      <c r="I21" s="11">
        <f t="shared" si="15"/>
        <v>-20</v>
      </c>
      <c r="J21" s="11">
        <f t="shared" si="15"/>
        <v>-20</v>
      </c>
      <c r="K21" s="11">
        <f t="shared" si="15"/>
        <v>-20</v>
      </c>
      <c r="L21" s="11">
        <f t="shared" si="15"/>
        <v>-20</v>
      </c>
      <c r="M21" s="11">
        <f t="shared" si="15"/>
        <v>-20</v>
      </c>
      <c r="N21" s="11">
        <f t="shared" si="15"/>
        <v>-20</v>
      </c>
      <c r="O21" s="11">
        <f t="shared" si="15"/>
        <v>-20</v>
      </c>
      <c r="P21" s="11">
        <f t="shared" si="15"/>
        <v>-20</v>
      </c>
      <c r="Q21" s="11">
        <f t="shared" si="15"/>
        <v>-20</v>
      </c>
    </row>
    <row r="22" spans="2:17" x14ac:dyDescent="0.15">
      <c r="B22" s="3" t="s">
        <v>15</v>
      </c>
      <c r="C22" s="11">
        <v>30</v>
      </c>
      <c r="D22" s="11">
        <v>30</v>
      </c>
      <c r="E22" s="11">
        <v>30</v>
      </c>
      <c r="F22" s="11">
        <v>30</v>
      </c>
      <c r="G22" s="11">
        <v>30</v>
      </c>
      <c r="H22" s="11">
        <v>30</v>
      </c>
      <c r="I22" s="11">
        <v>30</v>
      </c>
      <c r="J22" s="11">
        <v>30</v>
      </c>
      <c r="K22" s="11">
        <v>30</v>
      </c>
      <c r="L22" s="11">
        <v>30</v>
      </c>
      <c r="M22" s="11">
        <v>30</v>
      </c>
      <c r="N22" s="11">
        <v>30</v>
      </c>
      <c r="O22" s="11">
        <v>30</v>
      </c>
      <c r="P22" s="11">
        <v>30</v>
      </c>
      <c r="Q22" s="11">
        <v>30</v>
      </c>
    </row>
    <row r="23" spans="2:17" x14ac:dyDescent="0.15">
      <c r="B23" s="3" t="s">
        <v>16</v>
      </c>
      <c r="C23" s="11">
        <v>-10</v>
      </c>
      <c r="D23" s="11">
        <v>-10</v>
      </c>
      <c r="E23" s="11">
        <v>-10</v>
      </c>
      <c r="F23" s="11">
        <v>-10</v>
      </c>
      <c r="G23" s="11">
        <v>-10</v>
      </c>
      <c r="H23" s="11">
        <v>-10</v>
      </c>
      <c r="I23" s="11">
        <v>-10</v>
      </c>
      <c r="J23" s="11">
        <v>-10</v>
      </c>
      <c r="K23" s="11">
        <v>-10</v>
      </c>
      <c r="L23" s="11">
        <v>-10</v>
      </c>
      <c r="M23" s="11">
        <v>-10</v>
      </c>
      <c r="N23" s="11">
        <v>-10</v>
      </c>
      <c r="O23" s="11">
        <v>-10</v>
      </c>
      <c r="P23" s="11">
        <v>-10</v>
      </c>
      <c r="Q23" s="11">
        <v>-10</v>
      </c>
    </row>
    <row r="24" spans="2:17" x14ac:dyDescent="0.15">
      <c r="B24" s="18" t="s">
        <v>17</v>
      </c>
      <c r="C24" s="13">
        <f>SUM(C20:C23)</f>
        <v>10</v>
      </c>
      <c r="D24" s="13">
        <f t="shared" ref="D24:G24" si="16">SUM(D20:D23)</f>
        <v>10</v>
      </c>
      <c r="E24" s="13">
        <f t="shared" si="16"/>
        <v>10</v>
      </c>
      <c r="F24" s="13">
        <f t="shared" si="16"/>
        <v>10</v>
      </c>
      <c r="G24" s="13">
        <f t="shared" si="16"/>
        <v>10</v>
      </c>
      <c r="H24" s="13">
        <f t="shared" ref="H24" si="17">SUM(H20:H23)</f>
        <v>10</v>
      </c>
      <c r="I24" s="13">
        <f t="shared" ref="I24" si="18">SUM(I20:I23)</f>
        <v>10</v>
      </c>
      <c r="J24" s="13">
        <f t="shared" ref="J24" si="19">SUM(J20:J23)</f>
        <v>10</v>
      </c>
      <c r="K24" s="13">
        <f t="shared" ref="K24" si="20">SUM(K20:K23)</f>
        <v>10</v>
      </c>
      <c r="L24" s="13">
        <f t="shared" ref="L24" si="21">SUM(L20:L23)</f>
        <v>10</v>
      </c>
      <c r="M24" s="13">
        <f t="shared" ref="M24" si="22">SUM(M20:M23)</f>
        <v>10</v>
      </c>
      <c r="N24" s="13">
        <f t="shared" ref="N24" si="23">SUM(N20:N23)</f>
        <v>10</v>
      </c>
      <c r="O24" s="13">
        <f t="shared" ref="O24" si="24">SUM(O20:O23)</f>
        <v>10</v>
      </c>
      <c r="P24" s="13">
        <f t="shared" ref="P24" si="25">SUM(P20:P23)</f>
        <v>10</v>
      </c>
      <c r="Q24" s="13">
        <f t="shared" ref="Q24" si="26">SUM(Q20:Q23)</f>
        <v>10</v>
      </c>
    </row>
    <row r="25" spans="2:17" x14ac:dyDescent="0.15"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15">
      <c r="B26" s="14" t="s">
        <v>18</v>
      </c>
      <c r="C26" s="15">
        <f>C17+C24</f>
        <v>203</v>
      </c>
      <c r="D26" s="15">
        <f t="shared" ref="D26:G26" si="27">D17+D24</f>
        <v>34</v>
      </c>
      <c r="E26" s="15">
        <f t="shared" si="27"/>
        <v>398</v>
      </c>
      <c r="F26" s="15">
        <f t="shared" si="27"/>
        <v>278</v>
      </c>
      <c r="G26" s="15">
        <f t="shared" si="27"/>
        <v>648</v>
      </c>
      <c r="H26" s="15">
        <f t="shared" ref="H26:Q26" si="28">H17+H24</f>
        <v>709.80000000000007</v>
      </c>
      <c r="I26" s="15">
        <f t="shared" si="28"/>
        <v>777.7800000000002</v>
      </c>
      <c r="J26" s="15">
        <f t="shared" si="28"/>
        <v>852.55800000000033</v>
      </c>
      <c r="K26" s="15">
        <f t="shared" si="28"/>
        <v>934.81380000000036</v>
      </c>
      <c r="L26" s="15">
        <f t="shared" si="28"/>
        <v>1025.2951800000005</v>
      </c>
      <c r="M26" s="15">
        <f t="shared" si="28"/>
        <v>1124.8246980000006</v>
      </c>
      <c r="N26" s="15">
        <f t="shared" si="28"/>
        <v>1234.3071678000006</v>
      </c>
      <c r="O26" s="15">
        <f t="shared" si="28"/>
        <v>1354.7378845800008</v>
      </c>
      <c r="P26" s="15">
        <f t="shared" si="28"/>
        <v>1487.211673038001</v>
      </c>
      <c r="Q26" s="15">
        <f t="shared" si="28"/>
        <v>1632.932840341801</v>
      </c>
    </row>
    <row r="35" spans="4:8" x14ac:dyDescent="0.15">
      <c r="D35" s="11"/>
      <c r="E35" s="11"/>
      <c r="F35" s="11"/>
      <c r="G35" s="11"/>
      <c r="H35" s="11"/>
    </row>
    <row r="36" spans="4:8" x14ac:dyDescent="0.15">
      <c r="D36" s="11"/>
      <c r="E36" s="11"/>
      <c r="F36" s="11"/>
      <c r="G36" s="11"/>
      <c r="H36" s="11"/>
    </row>
    <row r="37" spans="4:8" x14ac:dyDescent="0.15">
      <c r="D37" s="11"/>
      <c r="E37" s="11"/>
      <c r="F37" s="11"/>
      <c r="G37" s="11"/>
      <c r="H37" s="11"/>
    </row>
    <row r="38" spans="4:8" x14ac:dyDescent="0.15">
      <c r="D38" s="11"/>
      <c r="E38" s="11"/>
      <c r="F38" s="11"/>
      <c r="G38" s="11"/>
      <c r="H38" s="11"/>
    </row>
    <row r="39" spans="4:8" x14ac:dyDescent="0.15">
      <c r="D39" s="11"/>
      <c r="E39" s="11"/>
      <c r="F39" s="11"/>
      <c r="G39" s="11"/>
      <c r="H39" s="11"/>
    </row>
  </sheetData>
  <mergeCells count="2">
    <mergeCell ref="C4:N4"/>
    <mergeCell ref="O4:Q4"/>
  </mergeCells>
  <conditionalFormatting sqref="C20:F20">
    <cfRule type="containsText" dxfId="1" priority="1" operator="containsText" text="Yes">
      <formula>NOT(ISERROR(SEARCH("Yes",C20)))</formula>
    </cfRule>
    <cfRule type="containsText" dxfId="0" priority="2" operator="containsText" text="No">
      <formula>NOT(ISERROR(SEARCH("No",C20)))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flow statement - SIMPLE</vt:lpstr>
      <vt:lpstr>Cash flow statement - EXTENDED</vt:lpstr>
      <vt:lpstr>NWC - yearly</vt:lpstr>
      <vt:lpstr>NWC - monthly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Due Diligence cash flow statement</dc:title>
  <dc:subject>cash flow statement</dc:subject>
  <dc:creator>Slideworks</dc:creator>
  <cp:keywords>due diligence, m&amp;a, consulting powerpoints, financial models</cp:keywords>
  <dc:description>Copyright of Slideworks.io. Any unauthorized distribution prohibited. See our full terms and conditions at https://slideworks.io/terms </dc:description>
  <cp:lastModifiedBy>Microsoft Office User</cp:lastModifiedBy>
  <dcterms:created xsi:type="dcterms:W3CDTF">2024-07-05T09:53:14Z</dcterms:created>
  <dcterms:modified xsi:type="dcterms:W3CDTF">2025-01-15T11:55:12Z</dcterms:modified>
  <cp:category>cash flow statement</cp:category>
</cp:coreProperties>
</file>