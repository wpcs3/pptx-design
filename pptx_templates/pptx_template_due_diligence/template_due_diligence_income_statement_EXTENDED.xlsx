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7. Slideworks - Due diligence ONLINE/Final version for sale_JAN15/Excel template files/1. Income statement (P&amp;L)/"/>
    </mc:Choice>
  </mc:AlternateContent>
  <xr:revisionPtr revIDLastSave="0" documentId="13_ncr:1_{B4AA719D-0BAA-7345-8266-16ED2405CD07}" xr6:coauthVersionLast="47" xr6:coauthVersionMax="47" xr10:uidLastSave="{00000000-0000-0000-0000-000000000000}"/>
  <bookViews>
    <workbookView xWindow="28800" yWindow="500" windowWidth="51200" windowHeight="28300" activeTab="3" xr2:uid="{00000000-000D-0000-FFFF-FFFF00000000}"/>
  </bookViews>
  <sheets>
    <sheet name="Extended P&amp;L" sheetId="13" r:id="rId1"/>
    <sheet name="Revenue breakdown" sheetId="10" r:id="rId2"/>
    <sheet name="Cost of good sold breakdown" sheetId="15" r:id="rId3"/>
    <sheet name="Operating expenses breakdown" sheetId="16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3" l="1"/>
  <c r="F15" i="13"/>
  <c r="E15" i="13"/>
  <c r="D15" i="13"/>
  <c r="P15" i="13" s="1"/>
  <c r="C15" i="13"/>
  <c r="G14" i="13"/>
  <c r="F14" i="13"/>
  <c r="R14" i="13" s="1"/>
  <c r="R16" i="13" s="1"/>
  <c r="E14" i="13"/>
  <c r="D14" i="13"/>
  <c r="C14" i="13"/>
  <c r="C16" i="13"/>
  <c r="G13" i="13"/>
  <c r="F13" i="13"/>
  <c r="E13" i="13"/>
  <c r="D13" i="13"/>
  <c r="C13" i="13"/>
  <c r="O13" i="13" s="1"/>
  <c r="G28" i="16"/>
  <c r="F28" i="16"/>
  <c r="E28" i="16"/>
  <c r="D28" i="16"/>
  <c r="C28" i="16"/>
  <c r="G14" i="16"/>
  <c r="F14" i="16"/>
  <c r="E14" i="16"/>
  <c r="D14" i="16"/>
  <c r="C14" i="16"/>
  <c r="G9" i="16"/>
  <c r="F9" i="16"/>
  <c r="E9" i="16"/>
  <c r="D9" i="16"/>
  <c r="C9" i="16"/>
  <c r="K4" i="16"/>
  <c r="L4" i="16" s="1"/>
  <c r="M4" i="16" s="1"/>
  <c r="N4" i="16" s="1"/>
  <c r="D4" i="16"/>
  <c r="E4" i="16" s="1"/>
  <c r="F4" i="16" s="1"/>
  <c r="G4" i="16" s="1"/>
  <c r="G10" i="13"/>
  <c r="F10" i="13"/>
  <c r="E10" i="13"/>
  <c r="D10" i="13"/>
  <c r="P10" i="13" s="1"/>
  <c r="C10" i="13"/>
  <c r="J13" i="15"/>
  <c r="G13" i="15"/>
  <c r="N8" i="15" s="1"/>
  <c r="E13" i="15"/>
  <c r="L7" i="15" s="1"/>
  <c r="D13" i="15"/>
  <c r="K12" i="15" s="1"/>
  <c r="F13" i="15"/>
  <c r="M9" i="15" s="1"/>
  <c r="K4" i="15"/>
  <c r="L4" i="15" s="1"/>
  <c r="M4" i="15" s="1"/>
  <c r="N4" i="15" s="1"/>
  <c r="D4" i="15"/>
  <c r="E4" i="15" s="1"/>
  <c r="F4" i="15" s="1"/>
  <c r="G4" i="15" s="1"/>
  <c r="G6" i="13"/>
  <c r="F6" i="13"/>
  <c r="E6" i="13"/>
  <c r="D6" i="13"/>
  <c r="P6" i="13" s="1"/>
  <c r="P8" i="13" s="1"/>
  <c r="C6" i="13"/>
  <c r="D51" i="10"/>
  <c r="C51" i="10"/>
  <c r="G51" i="10"/>
  <c r="F51" i="10"/>
  <c r="E51" i="10"/>
  <c r="K46" i="10"/>
  <c r="L46" i="10" s="1"/>
  <c r="M46" i="10" s="1"/>
  <c r="N46" i="10" s="1"/>
  <c r="D46" i="10"/>
  <c r="E46" i="10" s="1"/>
  <c r="F46" i="10" s="1"/>
  <c r="G46" i="10" s="1"/>
  <c r="E32" i="10"/>
  <c r="L50" i="10" s="1"/>
  <c r="K25" i="10"/>
  <c r="L25" i="10" s="1"/>
  <c r="M25" i="10" s="1"/>
  <c r="N25" i="10" s="1"/>
  <c r="D25" i="10"/>
  <c r="E25" i="10" s="1"/>
  <c r="F25" i="10" s="1"/>
  <c r="G25" i="10" s="1"/>
  <c r="K5" i="10"/>
  <c r="L5" i="10" s="1"/>
  <c r="M5" i="10" s="1"/>
  <c r="N5" i="10" s="1"/>
  <c r="S27" i="13"/>
  <c r="R27" i="13"/>
  <c r="Q27" i="13"/>
  <c r="P27" i="13"/>
  <c r="O27" i="13"/>
  <c r="S24" i="13"/>
  <c r="R24" i="13"/>
  <c r="Q24" i="13"/>
  <c r="P24" i="13"/>
  <c r="O24" i="13"/>
  <c r="S23" i="13"/>
  <c r="R23" i="13"/>
  <c r="Q23" i="13"/>
  <c r="P23" i="13"/>
  <c r="O23" i="13"/>
  <c r="S20" i="13"/>
  <c r="R20" i="13"/>
  <c r="Q20" i="13"/>
  <c r="P20" i="13"/>
  <c r="O20" i="13"/>
  <c r="S15" i="13"/>
  <c r="R15" i="13"/>
  <c r="Q15" i="13"/>
  <c r="O15" i="13"/>
  <c r="S14" i="13"/>
  <c r="Q14" i="13"/>
  <c r="P14" i="13"/>
  <c r="S13" i="13"/>
  <c r="R13" i="13"/>
  <c r="Q13" i="13"/>
  <c r="P13" i="13"/>
  <c r="S10" i="13"/>
  <c r="R10" i="13"/>
  <c r="Q10" i="13"/>
  <c r="O10" i="13"/>
  <c r="S7" i="13"/>
  <c r="R7" i="13"/>
  <c r="Q7" i="13"/>
  <c r="P7" i="13"/>
  <c r="O7" i="13"/>
  <c r="S6" i="13"/>
  <c r="S8" i="13" s="1"/>
  <c r="S11" i="13" s="1"/>
  <c r="R6" i="13"/>
  <c r="Q6" i="13"/>
  <c r="O6" i="13"/>
  <c r="O8" i="13" s="1"/>
  <c r="R8" i="13"/>
  <c r="Q8" i="13"/>
  <c r="Q4" i="13"/>
  <c r="R4" i="13" s="1"/>
  <c r="S4" i="13" s="1"/>
  <c r="P4" i="13"/>
  <c r="M16" i="13"/>
  <c r="L16" i="13"/>
  <c r="K16" i="13"/>
  <c r="J16" i="13"/>
  <c r="I16" i="13"/>
  <c r="G16" i="13"/>
  <c r="E16" i="13"/>
  <c r="G37" i="13"/>
  <c r="F37" i="13"/>
  <c r="E37" i="13"/>
  <c r="D37" i="13"/>
  <c r="C37" i="13"/>
  <c r="M8" i="13"/>
  <c r="L8" i="13"/>
  <c r="K8" i="13"/>
  <c r="J8" i="13"/>
  <c r="I8" i="13"/>
  <c r="J4" i="13"/>
  <c r="K4" i="13" s="1"/>
  <c r="L4" i="13" s="1"/>
  <c r="M4" i="13" s="1"/>
  <c r="G8" i="13"/>
  <c r="F8" i="13"/>
  <c r="E8" i="13"/>
  <c r="D8" i="13"/>
  <c r="C8" i="13"/>
  <c r="G34" i="13"/>
  <c r="F34" i="13"/>
  <c r="E34" i="13"/>
  <c r="D34" i="13"/>
  <c r="D4" i="13"/>
  <c r="E4" i="13" s="1"/>
  <c r="F4" i="13" s="1"/>
  <c r="G4" i="13" s="1"/>
  <c r="Q16" i="13" l="1"/>
  <c r="S16" i="13"/>
  <c r="F16" i="13"/>
  <c r="P16" i="13"/>
  <c r="D16" i="13"/>
  <c r="O14" i="13"/>
  <c r="O16" i="13" s="1"/>
  <c r="F20" i="16"/>
  <c r="G20" i="16"/>
  <c r="D20" i="16"/>
  <c r="E20" i="16"/>
  <c r="C20" i="16"/>
  <c r="E25" i="16"/>
  <c r="G25" i="16"/>
  <c r="F25" i="16"/>
  <c r="D25" i="16"/>
  <c r="C25" i="16"/>
  <c r="R11" i="13"/>
  <c r="Q11" i="13"/>
  <c r="N11" i="15"/>
  <c r="M11" i="15"/>
  <c r="L11" i="15"/>
  <c r="K11" i="15"/>
  <c r="N6" i="15"/>
  <c r="N12" i="15"/>
  <c r="C13" i="15"/>
  <c r="K8" i="15"/>
  <c r="L8" i="15"/>
  <c r="M10" i="15"/>
  <c r="L12" i="15"/>
  <c r="M12" i="15"/>
  <c r="N9" i="15"/>
  <c r="M7" i="15"/>
  <c r="N10" i="15"/>
  <c r="M6" i="15"/>
  <c r="M8" i="15"/>
  <c r="K10" i="15"/>
  <c r="K7" i="15"/>
  <c r="L10" i="15"/>
  <c r="K6" i="15"/>
  <c r="N7" i="15"/>
  <c r="L9" i="15"/>
  <c r="K9" i="15"/>
  <c r="L6" i="15"/>
  <c r="G52" i="10"/>
  <c r="E52" i="10"/>
  <c r="L49" i="10"/>
  <c r="D52" i="10"/>
  <c r="L48" i="10"/>
  <c r="F52" i="10"/>
  <c r="L29" i="10"/>
  <c r="L30" i="10"/>
  <c r="L31" i="10"/>
  <c r="G32" i="10"/>
  <c r="N31" i="10" s="1"/>
  <c r="L27" i="10"/>
  <c r="L28" i="10"/>
  <c r="F32" i="10"/>
  <c r="M28" i="10" s="1"/>
  <c r="C32" i="10"/>
  <c r="F33" i="10"/>
  <c r="E17" i="10"/>
  <c r="L16" i="10" s="1"/>
  <c r="L11" i="10"/>
  <c r="L7" i="10"/>
  <c r="L14" i="10"/>
  <c r="F17" i="10"/>
  <c r="G17" i="10"/>
  <c r="D17" i="10"/>
  <c r="C17" i="10"/>
  <c r="Q18" i="13"/>
  <c r="Q21" i="13" s="1"/>
  <c r="Q25" i="13" s="1"/>
  <c r="Q28" i="13" s="1"/>
  <c r="S18" i="13"/>
  <c r="S21" i="13" s="1"/>
  <c r="S25" i="13" s="1"/>
  <c r="S28" i="13" s="1"/>
  <c r="R18" i="13"/>
  <c r="R21" i="13" s="1"/>
  <c r="R25" i="13" s="1"/>
  <c r="R28" i="13" s="1"/>
  <c r="O11" i="13"/>
  <c r="P11" i="13"/>
  <c r="P18" i="13" s="1"/>
  <c r="P21" i="13" s="1"/>
  <c r="P25" i="13" s="1"/>
  <c r="P28" i="13" s="1"/>
  <c r="I11" i="13"/>
  <c r="K11" i="13"/>
  <c r="L11" i="13"/>
  <c r="J11" i="13"/>
  <c r="M11" i="13"/>
  <c r="E11" i="13"/>
  <c r="E18" i="13" s="1"/>
  <c r="C11" i="13"/>
  <c r="C18" i="13" s="1"/>
  <c r="D11" i="13"/>
  <c r="D18" i="13" s="1"/>
  <c r="F11" i="13"/>
  <c r="F18" i="13" s="1"/>
  <c r="G11" i="13"/>
  <c r="G18" i="13" s="1"/>
  <c r="O18" i="13" l="1"/>
  <c r="O21" i="13" s="1"/>
  <c r="O25" i="13" s="1"/>
  <c r="O28" i="13" s="1"/>
  <c r="K25" i="16"/>
  <c r="N25" i="16"/>
  <c r="J25" i="16"/>
  <c r="N20" i="16"/>
  <c r="L25" i="16"/>
  <c r="M20" i="16"/>
  <c r="J20" i="16"/>
  <c r="K20" i="16"/>
  <c r="N9" i="16"/>
  <c r="L7" i="16"/>
  <c r="J7" i="16"/>
  <c r="J10" i="15"/>
  <c r="J11" i="15"/>
  <c r="J8" i="15"/>
  <c r="J7" i="15"/>
  <c r="J6" i="15"/>
  <c r="J9" i="15"/>
  <c r="J12" i="15"/>
  <c r="M13" i="15"/>
  <c r="L13" i="15"/>
  <c r="N13" i="15"/>
  <c r="K13" i="15"/>
  <c r="L51" i="10"/>
  <c r="J50" i="10"/>
  <c r="J48" i="10"/>
  <c r="J49" i="10"/>
  <c r="M49" i="10"/>
  <c r="M48" i="10"/>
  <c r="M50" i="10"/>
  <c r="N48" i="10"/>
  <c r="N49" i="10"/>
  <c r="N50" i="10"/>
  <c r="D32" i="10"/>
  <c r="N30" i="10"/>
  <c r="N28" i="10"/>
  <c r="N29" i="10"/>
  <c r="N27" i="10"/>
  <c r="M29" i="10"/>
  <c r="M32" i="10" s="1"/>
  <c r="M30" i="10"/>
  <c r="M31" i="10"/>
  <c r="G33" i="10"/>
  <c r="M27" i="10"/>
  <c r="J31" i="10"/>
  <c r="J30" i="10"/>
  <c r="J28" i="10"/>
  <c r="J29" i="10"/>
  <c r="J27" i="10"/>
  <c r="N14" i="10"/>
  <c r="J12" i="10"/>
  <c r="K8" i="10"/>
  <c r="L12" i="10"/>
  <c r="M14" i="10"/>
  <c r="L8" i="10"/>
  <c r="K16" i="10"/>
  <c r="L9" i="10"/>
  <c r="J7" i="10"/>
  <c r="K12" i="10"/>
  <c r="L15" i="10"/>
  <c r="J10" i="10"/>
  <c r="J9" i="10"/>
  <c r="G18" i="10"/>
  <c r="J16" i="10"/>
  <c r="L13" i="10"/>
  <c r="N7" i="10"/>
  <c r="L10" i="10"/>
  <c r="J13" i="10"/>
  <c r="J15" i="10"/>
  <c r="J14" i="10"/>
  <c r="J11" i="10"/>
  <c r="J8" i="10"/>
  <c r="N11" i="10"/>
  <c r="N13" i="10"/>
  <c r="N16" i="10"/>
  <c r="N10" i="10"/>
  <c r="N8" i="10"/>
  <c r="N15" i="10"/>
  <c r="M13" i="10"/>
  <c r="M7" i="10"/>
  <c r="M16" i="10"/>
  <c r="M10" i="10"/>
  <c r="M8" i="10"/>
  <c r="M15" i="10"/>
  <c r="M11" i="10"/>
  <c r="M12" i="10"/>
  <c r="N9" i="10"/>
  <c r="M9" i="10"/>
  <c r="K15" i="10"/>
  <c r="K11" i="10"/>
  <c r="K10" i="10"/>
  <c r="K13" i="10"/>
  <c r="K9" i="10"/>
  <c r="K7" i="10"/>
  <c r="N12" i="10"/>
  <c r="K14" i="10"/>
  <c r="J18" i="13"/>
  <c r="M18" i="13"/>
  <c r="L18" i="13"/>
  <c r="K18" i="13"/>
  <c r="I18" i="13"/>
  <c r="M25" i="16" l="1"/>
  <c r="L6" i="16"/>
  <c r="L13" i="16"/>
  <c r="L18" i="16"/>
  <c r="L11" i="16"/>
  <c r="L23" i="16"/>
  <c r="L16" i="16"/>
  <c r="L19" i="16"/>
  <c r="L24" i="16"/>
  <c r="L17" i="16"/>
  <c r="L22" i="16"/>
  <c r="L12" i="16"/>
  <c r="L14" i="16"/>
  <c r="L20" i="16"/>
  <c r="M18" i="16"/>
  <c r="M11" i="16"/>
  <c r="M16" i="16"/>
  <c r="M12" i="16"/>
  <c r="M24" i="16"/>
  <c r="M23" i="16"/>
  <c r="M17" i="16"/>
  <c r="M22" i="16"/>
  <c r="M13" i="16"/>
  <c r="M19" i="16"/>
  <c r="M14" i="16"/>
  <c r="M7" i="16"/>
  <c r="K27" i="16"/>
  <c r="K22" i="16"/>
  <c r="K13" i="16"/>
  <c r="K18" i="16"/>
  <c r="K11" i="16"/>
  <c r="K23" i="16"/>
  <c r="K16" i="16"/>
  <c r="K19" i="16"/>
  <c r="K12" i="16"/>
  <c r="K14" i="16"/>
  <c r="K24" i="16"/>
  <c r="K17" i="16"/>
  <c r="J17" i="16"/>
  <c r="J22" i="16"/>
  <c r="J13" i="16"/>
  <c r="J18" i="16"/>
  <c r="J6" i="16"/>
  <c r="J16" i="16"/>
  <c r="J19" i="16"/>
  <c r="J12" i="16"/>
  <c r="J14" i="16"/>
  <c r="J24" i="16"/>
  <c r="J11" i="16"/>
  <c r="J23" i="16"/>
  <c r="J9" i="16"/>
  <c r="N23" i="16"/>
  <c r="N16" i="16"/>
  <c r="N19" i="16"/>
  <c r="N12" i="16"/>
  <c r="N14" i="16"/>
  <c r="N24" i="16"/>
  <c r="N22" i="16"/>
  <c r="N13" i="16"/>
  <c r="N18" i="16"/>
  <c r="N11" i="16"/>
  <c r="N17" i="16"/>
  <c r="J27" i="16"/>
  <c r="J8" i="16"/>
  <c r="K8" i="16"/>
  <c r="K6" i="16"/>
  <c r="K9" i="16"/>
  <c r="L8" i="16"/>
  <c r="L9" i="16"/>
  <c r="N7" i="16"/>
  <c r="L27" i="16"/>
  <c r="M27" i="16"/>
  <c r="K7" i="16"/>
  <c r="M9" i="16"/>
  <c r="N8" i="16"/>
  <c r="N6" i="16"/>
  <c r="M6" i="16"/>
  <c r="M8" i="16"/>
  <c r="N27" i="16"/>
  <c r="N51" i="10"/>
  <c r="K48" i="10"/>
  <c r="K49" i="10"/>
  <c r="K50" i="10"/>
  <c r="J51" i="10"/>
  <c r="M51" i="10"/>
  <c r="K29" i="10"/>
  <c r="K28" i="10"/>
  <c r="K30" i="10"/>
  <c r="K27" i="10"/>
  <c r="E33" i="10"/>
  <c r="K31" i="10"/>
  <c r="D33" i="10"/>
  <c r="L17" i="10"/>
  <c r="J32" i="10"/>
  <c r="N32" i="10"/>
  <c r="L32" i="10"/>
  <c r="J17" i="10"/>
  <c r="N17" i="10"/>
  <c r="K17" i="10"/>
  <c r="M17" i="10"/>
  <c r="L21" i="13"/>
  <c r="I21" i="13"/>
  <c r="M21" i="13"/>
  <c r="J21" i="13"/>
  <c r="K21" i="13"/>
  <c r="E21" i="13"/>
  <c r="F21" i="13"/>
  <c r="G21" i="13"/>
  <c r="D21" i="13"/>
  <c r="C21" i="13"/>
  <c r="N28" i="16" l="1"/>
  <c r="M28" i="16"/>
  <c r="K28" i="16"/>
  <c r="L28" i="16"/>
  <c r="J28" i="16"/>
  <c r="K51" i="10"/>
  <c r="K32" i="10"/>
  <c r="M25" i="13"/>
  <c r="K25" i="13"/>
  <c r="I25" i="13"/>
  <c r="L25" i="13"/>
  <c r="J25" i="13"/>
  <c r="C25" i="13"/>
  <c r="G25" i="13"/>
  <c r="D25" i="13"/>
  <c r="F25" i="13"/>
  <c r="E25" i="13"/>
  <c r="I28" i="13" l="1"/>
  <c r="K28" i="13"/>
  <c r="J28" i="13"/>
  <c r="L28" i="13"/>
  <c r="M28" i="13"/>
  <c r="G28" i="13"/>
  <c r="E28" i="13"/>
  <c r="C28" i="13"/>
  <c r="C35" i="13" s="1"/>
  <c r="D28" i="13"/>
  <c r="F28" i="13"/>
  <c r="F35" i="13" l="1"/>
  <c r="D35" i="13"/>
  <c r="E35" i="13"/>
  <c r="G35" i="13"/>
  <c r="D5" i="10" l="1"/>
  <c r="E5" i="10" s="1"/>
  <c r="F5" i="10" s="1"/>
  <c r="G5" i="10" l="1"/>
  <c r="E18" i="10" l="1"/>
  <c r="F18" i="10"/>
  <c r="D18" i="10"/>
</calcChain>
</file>

<file path=xl/sharedStrings.xml><?xml version="1.0" encoding="utf-8"?>
<sst xmlns="http://schemas.openxmlformats.org/spreadsheetml/2006/main" count="147" uniqueCount="85">
  <si>
    <t>Other income</t>
  </si>
  <si>
    <t>Salaries</t>
  </si>
  <si>
    <t>EBITDA</t>
  </si>
  <si>
    <t>Interest expenses</t>
  </si>
  <si>
    <t>Interest income</t>
  </si>
  <si>
    <t>Revenues</t>
  </si>
  <si>
    <t>Other costs</t>
  </si>
  <si>
    <t>Depreciation and amortization</t>
  </si>
  <si>
    <t>Operating income (EBIT)</t>
  </si>
  <si>
    <t>Profit before tax</t>
  </si>
  <si>
    <t>Income tax</t>
  </si>
  <si>
    <t>Net result</t>
  </si>
  <si>
    <t>SG&amp;A (selling, general, and administration costs)</t>
  </si>
  <si>
    <t>COGS (cost of goods sold)</t>
  </si>
  <si>
    <t>Gross margin</t>
  </si>
  <si>
    <t>Total revenues</t>
  </si>
  <si>
    <t>Key metrics</t>
  </si>
  <si>
    <t>Currency: [Insert currency unit e.g, EUR M or USD millions)</t>
  </si>
  <si>
    <t>Year-on-year growth</t>
  </si>
  <si>
    <t>Net result as % of total revenues</t>
  </si>
  <si>
    <t>Reported</t>
  </si>
  <si>
    <t>Adjustments</t>
  </si>
  <si>
    <t>Year-on-year growth in revenues</t>
  </si>
  <si>
    <t>Average number of FTEs</t>
  </si>
  <si>
    <t>Salaries per FTE</t>
  </si>
  <si>
    <t>Total operating expenses</t>
  </si>
  <si>
    <t>Actuals</t>
  </si>
  <si>
    <t>Income statement</t>
  </si>
  <si>
    <t>Revenue breakdown</t>
  </si>
  <si>
    <t>Revenue by product line</t>
  </si>
  <si>
    <t>Product 1</t>
  </si>
  <si>
    <t>As % of total revenue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</si>
  <si>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</si>
  <si>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</si>
  <si>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</si>
  <si>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</si>
  <si>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</si>
  <si>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</si>
  <si>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</si>
  <si>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</si>
  <si>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</si>
  <si>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Total</t>
  </si>
  <si>
    <t>Revenue by country</t>
  </si>
  <si>
    <t>Country 1</t>
  </si>
  <si>
    <t>Country 2</t>
  </si>
  <si>
    <t>Country 3</t>
  </si>
  <si>
    <t>Country 4</t>
  </si>
  <si>
    <t>Country 5</t>
  </si>
  <si>
    <t>Revenue by product line (values)</t>
  </si>
  <si>
    <t>Revenue by channel</t>
  </si>
  <si>
    <t>Distributors</t>
  </si>
  <si>
    <t>Store</t>
  </si>
  <si>
    <t>Online</t>
  </si>
  <si>
    <t>Revenue by channel as % of total (2023)</t>
  </si>
  <si>
    <t>Revenue by country as % of total (2023)</t>
  </si>
  <si>
    <t>Revenue by product line as % of total (2023)</t>
  </si>
  <si>
    <t>Cost of goods sold breakdown</t>
  </si>
  <si>
    <t>Raw materials</t>
  </si>
  <si>
    <t>Direct materials</t>
  </si>
  <si>
    <t>Indirect materials</t>
  </si>
  <si>
    <t>Manufacturing overhead</t>
  </si>
  <si>
    <t>Price difference</t>
  </si>
  <si>
    <t>Freight</t>
  </si>
  <si>
    <t>Total cost of goods sold</t>
  </si>
  <si>
    <t>As % of total COGS</t>
  </si>
  <si>
    <t>Operating expenses breakdown</t>
  </si>
  <si>
    <t>Gross salaries</t>
  </si>
  <si>
    <t>Social charges e.g., pension plans</t>
  </si>
  <si>
    <t>Bonuses</t>
  </si>
  <si>
    <t>Total salaries</t>
  </si>
  <si>
    <t>Maintenance</t>
  </si>
  <si>
    <t>Total housing</t>
  </si>
  <si>
    <t>Marketing</t>
  </si>
  <si>
    <t>Sales materials</t>
  </si>
  <si>
    <t>Website</t>
  </si>
  <si>
    <t>Other sales costs</t>
  </si>
  <si>
    <t>Total selling expenses</t>
  </si>
  <si>
    <t>Insurance</t>
  </si>
  <si>
    <t>Accounting</t>
  </si>
  <si>
    <t>Other administrative expenses</t>
  </si>
  <si>
    <t>Total administrative expenses</t>
  </si>
  <si>
    <t>Other operating expenses</t>
  </si>
  <si>
    <t>Rent</t>
  </si>
  <si>
    <t>Office supplies</t>
  </si>
  <si>
    <t>As % of 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</si>
</sst>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_(* #,##0.0_);_(* \(#,##0.0\);_(* &quot;-&quot;?_);_(@_)"/>
  </numFmts>
  <fonts count="7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/>
    <xf numFmtId="0" fontId="4" fillId="0" borderId="3" xfId="0" applyFont="1" applyBorder="1"/>
    <xf numFmtId="166" fontId="3" fillId="0" borderId="0" xfId="0" applyNumberFormat="1" applyFont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right"/>
    </xf>
    <xf numFmtId="166" fontId="4" fillId="0" borderId="3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3" borderId="3" xfId="0" applyFont="1" applyFill="1" applyBorder="1"/>
    <xf numFmtId="166" fontId="4" fillId="3" borderId="3" xfId="0" applyNumberFormat="1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1" applyNumberFormat="1" applyFont="1" applyFill="1" applyBorder="1" applyAlignment="1">
      <alignment horizontal="right"/>
    </xf>
    <xf numFmtId="0" fontId="4" fillId="3" borderId="4" xfId="0" applyFont="1" applyFill="1" applyBorder="1"/>
    <xf numFmtId="166" fontId="4" fillId="3" borderId="4" xfId="0" applyNumberFormat="1" applyFont="1" applyFill="1" applyBorder="1" applyAlignment="1">
      <alignment horizontal="right"/>
    </xf>
    <xf numFmtId="166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/>
    <xf numFmtId="164" fontId="3" fillId="0" borderId="0" xfId="1" applyNumberFormat="1" applyFont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0" borderId="9" xfId="0" applyFont="1" applyBorder="1"/>
    <xf numFmtId="164" fontId="3" fillId="0" borderId="0" xfId="1" applyNumberFormat="1" applyFont="1" applyBorder="1"/>
    <xf numFmtId="164" fontId="3" fillId="0" borderId="10" xfId="1" applyNumberFormat="1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5" xfId="0" applyNumberFormat="1" applyFont="1" applyBorder="1"/>
    <xf numFmtId="165" fontId="3" fillId="0" borderId="12" xfId="0" applyNumberFormat="1" applyFont="1" applyBorder="1"/>
    <xf numFmtId="164" fontId="4" fillId="3" borderId="3" xfId="1" applyNumberFormat="1" applyFont="1" applyFill="1" applyBorder="1" applyAlignment="1">
      <alignment horizontal="right"/>
    </xf>
    <xf numFmtId="164" fontId="4" fillId="0" borderId="3" xfId="1" applyNumberFormat="1" applyFont="1" applyBorder="1"/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'Revenue breakdown'!$C$5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'Revenue breakdown'!$B$7:$B$16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'Revenue breakdown'!$C$7:$C$16</c:f>
              <c:numCache>
                <c:formatCode>_(* #,##0.0_);_(* \(#,##0.0\);_(* "-"?_);_(@_)</c:formatCode>
                <c:ptCount val="10"/>
                <c:pt idx="0">
                  <c:v>9</c:v>
                </c:pt>
                <c:pt idx="1">
                  <c:v>43</c:v>
                </c:pt>
                <c:pt idx="2">
                  <c:v>44</c:v>
                </c:pt>
                <c:pt idx="3">
                  <c:v>94</c:v>
                </c:pt>
                <c:pt idx="4">
                  <c:v>82</c:v>
                </c:pt>
                <c:pt idx="5">
                  <c:v>92</c:v>
                </c:pt>
                <c:pt idx="6">
                  <c:v>95</c:v>
                </c:pt>
                <c:pt idx="7">
                  <c:v>99</c:v>
                </c:pt>
                <c:pt idx="8">
                  <c:v>34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C-6B4C-A874-71A7544FE5FB}"/>
            </c:ext>
          </c:extLst>
        </c:ser>
        <c:ser>
          <c:idx val="5"/>
          <c:order val="1"/>
          <c:tx>
            <c:strRef>
              <c:f>'Revenue breakdown'!$D$5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breakdown'!$B$7:$B$16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'Revenue breakdown'!$D$7:$D$16</c:f>
              <c:numCache>
                <c:formatCode>_(* #,##0.0_);_(* \(#,##0.0\);_(* "-"?_);_(@_)</c:formatCode>
                <c:ptCount val="10"/>
                <c:pt idx="0">
                  <c:v>24</c:v>
                </c:pt>
                <c:pt idx="1">
                  <c:v>86</c:v>
                </c:pt>
                <c:pt idx="2">
                  <c:v>18</c:v>
                </c:pt>
                <c:pt idx="3">
                  <c:v>73</c:v>
                </c:pt>
                <c:pt idx="4">
                  <c:v>50</c:v>
                </c:pt>
                <c:pt idx="5">
                  <c:v>49</c:v>
                </c:pt>
                <c:pt idx="6">
                  <c:v>56</c:v>
                </c:pt>
                <c:pt idx="7">
                  <c:v>66</c:v>
                </c:pt>
                <c:pt idx="8">
                  <c:v>66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C-6B4C-A874-71A7544FE5FB}"/>
            </c:ext>
          </c:extLst>
        </c:ser>
        <c:ser>
          <c:idx val="6"/>
          <c:order val="2"/>
          <c:tx>
            <c:strRef>
              <c:f>'Revenue breakdown'!$E$5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'Revenue breakdown'!$B$7:$B$16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'Revenue breakdown'!$E$7:$E$16</c:f>
              <c:numCache>
                <c:formatCode>_(* #,##0.0_);_(* \(#,##0.0\);_(* "-"?_);_(@_)</c:formatCode>
                <c:ptCount val="10"/>
                <c:pt idx="0">
                  <c:v>69</c:v>
                </c:pt>
                <c:pt idx="1">
                  <c:v>55</c:v>
                </c:pt>
                <c:pt idx="2">
                  <c:v>59</c:v>
                </c:pt>
                <c:pt idx="3">
                  <c:v>33</c:v>
                </c:pt>
                <c:pt idx="4">
                  <c:v>60</c:v>
                </c:pt>
                <c:pt idx="5">
                  <c:v>78</c:v>
                </c:pt>
                <c:pt idx="6">
                  <c:v>58</c:v>
                </c:pt>
                <c:pt idx="7">
                  <c:v>76</c:v>
                </c:pt>
                <c:pt idx="8">
                  <c:v>46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C-6B4C-A874-71A7544FE5FB}"/>
            </c:ext>
          </c:extLst>
        </c:ser>
        <c:ser>
          <c:idx val="7"/>
          <c:order val="3"/>
          <c:tx>
            <c:strRef>
              <c:f>'Revenue breakdown'!$F$5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breakdown'!$B$7:$B$16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'Revenue breakdown'!$F$7:$F$16</c:f>
              <c:numCache>
                <c:formatCode>_(* #,##0.0_);_(* \(#,##0.0\);_(* "-"?_);_(@_)</c:formatCode>
                <c:ptCount val="10"/>
                <c:pt idx="0">
                  <c:v>25</c:v>
                </c:pt>
                <c:pt idx="1">
                  <c:v>48</c:v>
                </c:pt>
                <c:pt idx="2">
                  <c:v>44</c:v>
                </c:pt>
                <c:pt idx="3">
                  <c:v>59</c:v>
                </c:pt>
                <c:pt idx="4">
                  <c:v>45</c:v>
                </c:pt>
                <c:pt idx="5">
                  <c:v>19</c:v>
                </c:pt>
                <c:pt idx="6">
                  <c:v>79</c:v>
                </c:pt>
                <c:pt idx="7">
                  <c:v>49</c:v>
                </c:pt>
                <c:pt idx="8">
                  <c:v>3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C-6B4C-A874-71A7544FE5FB}"/>
            </c:ext>
          </c:extLst>
        </c:ser>
        <c:ser>
          <c:idx val="8"/>
          <c:order val="4"/>
          <c:tx>
            <c:strRef>
              <c:f>'Revenue breakdown'!$G$5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breakdown'!$B$7:$B$16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'Revenue breakdown'!$G$7:$G$16</c:f>
              <c:numCache>
                <c:formatCode>_(* #,##0.0_);_(* \(#,##0.0\);_(* "-"?_);_(@_)</c:formatCode>
                <c:ptCount val="10"/>
                <c:pt idx="0">
                  <c:v>34</c:v>
                </c:pt>
                <c:pt idx="1">
                  <c:v>80</c:v>
                </c:pt>
                <c:pt idx="2">
                  <c:v>80</c:v>
                </c:pt>
                <c:pt idx="3">
                  <c:v>68</c:v>
                </c:pt>
                <c:pt idx="4">
                  <c:v>4</c:v>
                </c:pt>
                <c:pt idx="5">
                  <c:v>99</c:v>
                </c:pt>
                <c:pt idx="6">
                  <c:v>47</c:v>
                </c:pt>
                <c:pt idx="7">
                  <c:v>59</c:v>
                </c:pt>
                <c:pt idx="8">
                  <c:v>42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C-6B4C-A874-71A7544FE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683743"/>
        <c:axId val="31852096"/>
      </c:barChart>
      <c:catAx>
        <c:axId val="19776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2096"/>
        <c:crosses val="autoZero"/>
        <c:auto val="1"/>
        <c:lblAlgn val="ctr"/>
        <c:lblOffset val="100"/>
        <c:noMultiLvlLbl val="0"/>
      </c:catAx>
      <c:valAx>
        <c:axId val="318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.0_);_(* \(#,##0.0\);_(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8"/>
          <c:order val="0"/>
          <c:tx>
            <c:strRef>
              <c:f>'Revenue breakdown'!$G$5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F1-3D42-8FFE-D4300D1E9C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F1-3D42-8FFE-D4300D1E9C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F1-3D42-8FFE-D4300D1E9C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F1-3D42-8FFE-D4300D1E9C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F1-3D42-8FFE-D4300D1E9C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B0-B041-81A4-9435E21FB2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8B0-B041-81A4-9435E21FB2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8B0-B041-81A4-9435E21FB2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B0-B041-81A4-9435E21FB2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8B0-B041-81A4-9435E21FB2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breakdown'!$I$7:$I$16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'Revenue breakdown'!$N$7:$N$16</c:f>
              <c:numCache>
                <c:formatCode>0.0%</c:formatCode>
                <c:ptCount val="10"/>
                <c:pt idx="0">
                  <c:v>6.2962962962962957E-2</c:v>
                </c:pt>
                <c:pt idx="1">
                  <c:v>0.14814814814814814</c:v>
                </c:pt>
                <c:pt idx="2">
                  <c:v>0.14814814814814814</c:v>
                </c:pt>
                <c:pt idx="3">
                  <c:v>0.12592592592592591</c:v>
                </c:pt>
                <c:pt idx="4">
                  <c:v>7.4074074074074077E-3</c:v>
                </c:pt>
                <c:pt idx="5">
                  <c:v>0.18333333333333332</c:v>
                </c:pt>
                <c:pt idx="6">
                  <c:v>8.7037037037037038E-2</c:v>
                </c:pt>
                <c:pt idx="7">
                  <c:v>0.10925925925925926</c:v>
                </c:pt>
                <c:pt idx="8">
                  <c:v>7.7777777777777779E-2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B0-B041-81A4-9435E21F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'Revenue breakdown'!$C$5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'Revenue breakdown'!$B$27:$B$31</c:f>
              <c:strCache>
                <c:ptCount val="5"/>
                <c:pt idx="0">
                  <c:v>Country 1</c:v>
                </c:pt>
                <c:pt idx="1">
                  <c:v>Country 2</c:v>
                </c:pt>
                <c:pt idx="2">
                  <c:v>Country 3</c:v>
                </c:pt>
                <c:pt idx="3">
                  <c:v>Country 4</c:v>
                </c:pt>
                <c:pt idx="4">
                  <c:v>Country 5</c:v>
                </c:pt>
              </c:strCache>
            </c:strRef>
          </c:cat>
          <c:val>
            <c:numRef>
              <c:f>'Revenue breakdown'!$C$27:$C$31</c:f>
              <c:numCache>
                <c:formatCode>_(* #,##0.0_);_(* \(#,##0.0\);_(* "-"?_);_(@_)</c:formatCode>
                <c:ptCount val="5"/>
                <c:pt idx="0">
                  <c:v>190</c:v>
                </c:pt>
                <c:pt idx="1">
                  <c:v>93</c:v>
                </c:pt>
                <c:pt idx="2">
                  <c:v>18</c:v>
                </c:pt>
                <c:pt idx="3">
                  <c:v>10</c:v>
                </c:pt>
                <c:pt idx="4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0-4047-A04E-897A021488FA}"/>
            </c:ext>
          </c:extLst>
        </c:ser>
        <c:ser>
          <c:idx val="5"/>
          <c:order val="1"/>
          <c:tx>
            <c:strRef>
              <c:f>'Revenue breakdown'!$D$5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breakdown'!$B$27:$B$31</c:f>
              <c:strCache>
                <c:ptCount val="5"/>
                <c:pt idx="0">
                  <c:v>Country 1</c:v>
                </c:pt>
                <c:pt idx="1">
                  <c:v>Country 2</c:v>
                </c:pt>
                <c:pt idx="2">
                  <c:v>Country 3</c:v>
                </c:pt>
                <c:pt idx="3">
                  <c:v>Country 4</c:v>
                </c:pt>
                <c:pt idx="4">
                  <c:v>Country 5</c:v>
                </c:pt>
              </c:strCache>
            </c:strRef>
          </c:cat>
          <c:val>
            <c:numRef>
              <c:f>'Revenue breakdown'!$D$27:$D$31</c:f>
              <c:numCache>
                <c:formatCode>_(* #,##0.0_);_(* \(#,##0.0\);_(* "-"?_);_(@_)</c:formatCode>
                <c:ptCount val="5"/>
                <c:pt idx="0">
                  <c:v>201</c:v>
                </c:pt>
                <c:pt idx="1">
                  <c:v>150</c:v>
                </c:pt>
                <c:pt idx="2">
                  <c:v>18</c:v>
                </c:pt>
                <c:pt idx="3">
                  <c:v>10</c:v>
                </c:pt>
                <c:pt idx="4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0-4047-A04E-897A021488FA}"/>
            </c:ext>
          </c:extLst>
        </c:ser>
        <c:ser>
          <c:idx val="6"/>
          <c:order val="2"/>
          <c:tx>
            <c:strRef>
              <c:f>'Revenue breakdown'!$E$5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'Revenue breakdown'!$B$27:$B$31</c:f>
              <c:strCache>
                <c:ptCount val="5"/>
                <c:pt idx="0">
                  <c:v>Country 1</c:v>
                </c:pt>
                <c:pt idx="1">
                  <c:v>Country 2</c:v>
                </c:pt>
                <c:pt idx="2">
                  <c:v>Country 3</c:v>
                </c:pt>
                <c:pt idx="3">
                  <c:v>Country 4</c:v>
                </c:pt>
                <c:pt idx="4">
                  <c:v>Country 5</c:v>
                </c:pt>
              </c:strCache>
            </c:strRef>
          </c:cat>
          <c:val>
            <c:numRef>
              <c:f>'Revenue breakdown'!$E$27:$E$31</c:f>
              <c:numCache>
                <c:formatCode>_(* #,##0.0_);_(* \(#,##0.0\);_(* "-"?_);_(@_)</c:formatCode>
                <c:ptCount val="5"/>
                <c:pt idx="0">
                  <c:v>216</c:v>
                </c:pt>
                <c:pt idx="1">
                  <c:v>127</c:v>
                </c:pt>
                <c:pt idx="2">
                  <c:v>18</c:v>
                </c:pt>
                <c:pt idx="3">
                  <c:v>10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0-4047-A04E-897A021488FA}"/>
            </c:ext>
          </c:extLst>
        </c:ser>
        <c:ser>
          <c:idx val="7"/>
          <c:order val="3"/>
          <c:tx>
            <c:strRef>
              <c:f>'Revenue breakdown'!$F$5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breakdown'!$B$27:$B$31</c:f>
              <c:strCache>
                <c:ptCount val="5"/>
                <c:pt idx="0">
                  <c:v>Country 1</c:v>
                </c:pt>
                <c:pt idx="1">
                  <c:v>Country 2</c:v>
                </c:pt>
                <c:pt idx="2">
                  <c:v>Country 3</c:v>
                </c:pt>
                <c:pt idx="3">
                  <c:v>Country 4</c:v>
                </c:pt>
                <c:pt idx="4">
                  <c:v>Country 5</c:v>
                </c:pt>
              </c:strCache>
            </c:strRef>
          </c:cat>
          <c:val>
            <c:numRef>
              <c:f>'Revenue breakdown'!$F$27:$F$31</c:f>
              <c:numCache>
                <c:formatCode>_(* #,##0.0_);_(* \(#,##0.0\);_(* "-"?_);_(@_)</c:formatCode>
                <c:ptCount val="5"/>
                <c:pt idx="0">
                  <c:v>176</c:v>
                </c:pt>
                <c:pt idx="1">
                  <c:v>101</c:v>
                </c:pt>
                <c:pt idx="2">
                  <c:v>18</c:v>
                </c:pt>
                <c:pt idx="3">
                  <c:v>10</c:v>
                </c:pt>
                <c:pt idx="4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0-4047-A04E-897A021488FA}"/>
            </c:ext>
          </c:extLst>
        </c:ser>
        <c:ser>
          <c:idx val="8"/>
          <c:order val="4"/>
          <c:tx>
            <c:strRef>
              <c:f>'Revenue breakdown'!$G$5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breakdown'!$B$27:$B$31</c:f>
              <c:strCache>
                <c:ptCount val="5"/>
                <c:pt idx="0">
                  <c:v>Country 1</c:v>
                </c:pt>
                <c:pt idx="1">
                  <c:v>Country 2</c:v>
                </c:pt>
                <c:pt idx="2">
                  <c:v>Country 3</c:v>
                </c:pt>
                <c:pt idx="3">
                  <c:v>Country 4</c:v>
                </c:pt>
                <c:pt idx="4">
                  <c:v>Country 5</c:v>
                </c:pt>
              </c:strCache>
            </c:strRef>
          </c:cat>
          <c:val>
            <c:numRef>
              <c:f>'Revenue breakdown'!$G$27:$G$31</c:f>
              <c:numCache>
                <c:formatCode>_(* #,##0.0_);_(* \(#,##0.0\);_(* "-"?_);_(@_)</c:formatCode>
                <c:ptCount val="5"/>
                <c:pt idx="0">
                  <c:v>262</c:v>
                </c:pt>
                <c:pt idx="1">
                  <c:v>69</c:v>
                </c:pt>
                <c:pt idx="2">
                  <c:v>18</c:v>
                </c:pt>
                <c:pt idx="3">
                  <c:v>10</c:v>
                </c:pt>
                <c:pt idx="4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0-4047-A04E-897A02148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683743"/>
        <c:axId val="31852096"/>
      </c:barChart>
      <c:catAx>
        <c:axId val="19776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2096"/>
        <c:crosses val="autoZero"/>
        <c:auto val="1"/>
        <c:lblAlgn val="ctr"/>
        <c:lblOffset val="100"/>
        <c:noMultiLvlLbl val="0"/>
      </c:catAx>
      <c:valAx>
        <c:axId val="318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.0_);_(* \(#,##0.0\);_(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AF-3643-AC89-9CC043342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AF-3643-AC89-9CC043342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AF-3643-AC89-9CC043342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AF-3643-AC89-9CC043342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AF-3643-AC89-9CC043342C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breakdown'!$I$27:$I$31</c:f>
              <c:strCache>
                <c:ptCount val="5"/>
                <c:pt idx="0">
                  <c:v>Country 1</c:v>
                </c:pt>
                <c:pt idx="1">
                  <c:v>Country 2</c:v>
                </c:pt>
                <c:pt idx="2">
                  <c:v>Country 3</c:v>
                </c:pt>
                <c:pt idx="3">
                  <c:v>Country 4</c:v>
                </c:pt>
                <c:pt idx="4">
                  <c:v>Country 5</c:v>
                </c:pt>
              </c:strCache>
            </c:strRef>
          </c:cat>
          <c:val>
            <c:numRef>
              <c:f>'Revenue breakdown'!$N$27:$N$31</c:f>
              <c:numCache>
                <c:formatCode>0.0%</c:formatCode>
                <c:ptCount val="5"/>
                <c:pt idx="0">
                  <c:v>0.48518518518518516</c:v>
                </c:pt>
                <c:pt idx="1">
                  <c:v>0.12777777777777777</c:v>
                </c:pt>
                <c:pt idx="2">
                  <c:v>3.3333333333333333E-2</c:v>
                </c:pt>
                <c:pt idx="3">
                  <c:v>1.8518518518518517E-2</c:v>
                </c:pt>
                <c:pt idx="4">
                  <c:v>0.3351851851851852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8FE-AA42-9078-0378805CA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66-4E4C-8BE0-639269C96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66-4E4C-8BE0-639269C96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66-4E4C-8BE0-639269C96A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breakdown'!$I$48:$I$50</c:f>
              <c:strCache>
                <c:ptCount val="3"/>
                <c:pt idx="0">
                  <c:v>Store</c:v>
                </c:pt>
                <c:pt idx="1">
                  <c:v>Online</c:v>
                </c:pt>
                <c:pt idx="2">
                  <c:v>Distributors</c:v>
                </c:pt>
              </c:strCache>
            </c:strRef>
          </c:cat>
          <c:val>
            <c:numRef>
              <c:f>'Revenue breakdown'!$N$48:$N$50</c:f>
              <c:numCache>
                <c:formatCode>0.0%</c:formatCode>
                <c:ptCount val="3"/>
                <c:pt idx="0">
                  <c:v>0.42592592592592593</c:v>
                </c:pt>
                <c:pt idx="1">
                  <c:v>0.33333333333333331</c:v>
                </c:pt>
                <c:pt idx="2">
                  <c:v>0.24074074074074073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66-4E4C-8BE0-639269C9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9F-B040-803B-DCB5D295FF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9F-B040-803B-DCB5D295FF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9F-B040-803B-DCB5D295FF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9F-B040-803B-DCB5D295FF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C9F-B040-803B-DCB5D295FF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05B-3845-A51C-8ACA23410F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05B-3845-A51C-8ACA23410F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of good sold breakdown'!$I$6:$I$12</c:f>
              <c:strCache>
                <c:ptCount val="7"/>
                <c:pt idx="0">
                  <c:v>Raw materials</c:v>
                </c:pt>
                <c:pt idx="1">
                  <c:v>Direct materials</c:v>
                </c:pt>
                <c:pt idx="2">
                  <c:v>Indirect materials</c:v>
                </c:pt>
                <c:pt idx="3">
                  <c:v>Manufacturing overhead</c:v>
                </c:pt>
                <c:pt idx="4">
                  <c:v>Price difference</c:v>
                </c:pt>
                <c:pt idx="5">
                  <c:v>Freight</c:v>
                </c:pt>
                <c:pt idx="6">
                  <c:v>Other costs</c:v>
                </c:pt>
              </c:strCache>
            </c:strRef>
          </c:cat>
          <c:val>
            <c:numRef>
              <c:f>'Cost of good sold breakdown'!$N$6:$N$12</c:f>
              <c:numCache>
                <c:formatCode>0.0%</c:formatCode>
                <c:ptCount val="7"/>
                <c:pt idx="0">
                  <c:v>0.1044776119402985</c:v>
                </c:pt>
                <c:pt idx="1">
                  <c:v>2.9850746268656716E-2</c:v>
                </c:pt>
                <c:pt idx="2">
                  <c:v>0.13432835820895522</c:v>
                </c:pt>
                <c:pt idx="3">
                  <c:v>0.26865671641791045</c:v>
                </c:pt>
                <c:pt idx="4">
                  <c:v>0.22388059701492538</c:v>
                </c:pt>
                <c:pt idx="5">
                  <c:v>0.22388059701492538</c:v>
                </c:pt>
                <c:pt idx="6">
                  <c:v>1.4925373134328358E-2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9F-B040-803B-DCB5D295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tx>
            <c:strRef>
              <c:f>'Operating expenses breakdown'!$I$6:$I$11</c:f>
              <c:strCache>
                <c:ptCount val="6"/>
                <c:pt idx="0">
                  <c:v>Gross salaries</c:v>
                </c:pt>
                <c:pt idx="1">
                  <c:v>Social charges e.g., pension plans</c:v>
                </c:pt>
                <c:pt idx="2">
                  <c:v>Bonuses</c:v>
                </c:pt>
                <c:pt idx="3">
                  <c:v>Total salaries</c:v>
                </c:pt>
                <c:pt idx="5">
                  <c:v>Rent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D-F34F-ACB6-AC2946AC13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CD-F34F-ACB6-AC2946AC13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CD-F34F-ACB6-AC2946AC13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CD-F34F-ACB6-AC2946AC13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CD-F34F-ACB6-AC2946AC1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('Operating expenses breakdown'!$I$9,'Operating expenses breakdown'!$I$14,'Operating expenses breakdown'!$I$20,'Operating expenses breakdown'!$I$25,'Operating expenses breakdown'!$I$27)</c:f>
              <c:strCache>
                <c:ptCount val="5"/>
                <c:pt idx="0">
                  <c:v>Total salaries</c:v>
                </c:pt>
                <c:pt idx="1">
                  <c:v>Total housing</c:v>
                </c:pt>
                <c:pt idx="2">
                  <c:v>Total selling expenses</c:v>
                </c:pt>
                <c:pt idx="3">
                  <c:v>Total administrative expenses</c:v>
                </c:pt>
                <c:pt idx="4">
                  <c:v>Other operating expenses</c:v>
                </c:pt>
              </c:strCache>
            </c:strRef>
          </c:cat>
          <c:val>
            <c:numRef>
              <c:f>('Operating expenses breakdown'!$N$9,'Operating expenses breakdown'!$N$14,'Operating expenses breakdown'!$N$20,'Operating expenses breakdown'!$N$25,'Operating expenses breakdown'!$N$27)</c:f>
              <c:numCache>
                <c:formatCode>0.0%</c:formatCode>
                <c:ptCount val="5"/>
                <c:pt idx="0">
                  <c:v>0.20689655172413793</c:v>
                </c:pt>
                <c:pt idx="1">
                  <c:v>0.35632183908045978</c:v>
                </c:pt>
                <c:pt idx="2">
                  <c:v>0.21839080459770116</c:v>
                </c:pt>
                <c:pt idx="3">
                  <c:v>0.20689655172413793</c:v>
                </c:pt>
                <c:pt idx="4">
                  <c:v>1.1494252873563218E-2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CD-F34F-ACB6-AC2946AC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4</xdr:row>
      <xdr:rowOff>146050</xdr:rowOff>
    </xdr:from>
    <xdr:to>
      <xdr:col>26</xdr:col>
      <xdr:colOff>762000</xdr:colOff>
      <xdr:row>21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10D265-03BC-E29F-D137-28F45C08F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5</xdr:row>
      <xdr:rowOff>0</xdr:rowOff>
    </xdr:from>
    <xdr:to>
      <xdr:col>32</xdr:col>
      <xdr:colOff>491066</xdr:colOff>
      <xdr:row>21</xdr:row>
      <xdr:rowOff>124460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031215-A54B-4744-9AC5-6E99251F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14941</xdr:colOff>
      <xdr:row>24</xdr:row>
      <xdr:rowOff>104588</xdr:rowOff>
    </xdr:from>
    <xdr:to>
      <xdr:col>26</xdr:col>
      <xdr:colOff>757891</xdr:colOff>
      <xdr:row>41</xdr:row>
      <xdr:rowOff>36606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AE54AC-7156-594C-9ED7-E662F4468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31</xdr:col>
      <xdr:colOff>732116</xdr:colOff>
      <xdr:row>41</xdr:row>
      <xdr:rowOff>97439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7B887E-420B-BE44-AB90-5D756B08E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34018</xdr:colOff>
      <xdr:row>47</xdr:row>
      <xdr:rowOff>0</xdr:rowOff>
    </xdr:from>
    <xdr:to>
      <xdr:col>19</xdr:col>
      <xdr:colOff>766134</xdr:colOff>
      <xdr:row>63</xdr:row>
      <xdr:rowOff>97439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23E0BE-9C56-AD40-99BE-79A501562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34955</xdr:colOff>
      <xdr:row>15</xdr:row>
      <xdr:rowOff>139816</xdr:rowOff>
    </xdr:from>
    <xdr:to>
      <xdr:col>4</xdr:col>
      <xdr:colOff>337891</xdr:colOff>
      <xdr:row>32</xdr:row>
      <xdr:rowOff>69907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93D110-9660-DC4F-86EC-D1D89B3E4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4</xdr:col>
      <xdr:colOff>302936</xdr:colOff>
      <xdr:row>47</xdr:row>
      <xdr:rowOff>93210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75DD6B-F2B2-FA4D-980B-8F860EE8B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_2">
      <a:dk1>
        <a:srgbClr val="061F32"/>
      </a:dk1>
      <a:lt1>
        <a:srgbClr val="FFFFFF"/>
      </a:lt1>
      <a:dk2>
        <a:srgbClr val="44546A"/>
      </a:dk2>
      <a:lt2>
        <a:srgbClr val="E7E6E6"/>
      </a:lt2>
      <a:accent1>
        <a:srgbClr val="061F32"/>
      </a:accent1>
      <a:accent2>
        <a:srgbClr val="22A3DF"/>
      </a:accent2>
      <a:accent3>
        <a:srgbClr val="2222F6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deworks" id="{8DFC3B37-E359-CA49-A1F7-6E72575D4B5B}" vid="{B47373BC-2D7A-6C4B-8BE3-24FFBFBFCD5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30C7-F485-394B-83BD-C5F70CCFA911}">
  <dimension ref="B2:S37"/>
  <sheetViews>
    <sheetView zoomScale="135" zoomScaleNormal="100" workbookViewId="0">
      <selection activeCell="F20" sqref="F20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10.85546875" style="4" bestFit="1" customWidth="1"/>
    <col min="8" max="16384" width="9.42578125" style="3"/>
  </cols>
  <sheetData>
    <row r="2" spans="2:19" ht="18" x14ac:dyDescent="0.2">
      <c r="B2" s="5" t="s">
        <v>27</v>
      </c>
    </row>
    <row r="3" spans="2:19" ht="18" x14ac:dyDescent="0.2">
      <c r="B3" s="5"/>
      <c r="C3" s="38" t="s">
        <v>20</v>
      </c>
      <c r="D3" s="38"/>
      <c r="E3" s="38"/>
      <c r="F3" s="38"/>
      <c r="G3" s="38"/>
      <c r="I3" s="38" t="s">
        <v>21</v>
      </c>
      <c r="J3" s="38"/>
      <c r="K3" s="38"/>
      <c r="L3" s="38"/>
      <c r="M3" s="38"/>
      <c r="O3" s="38" t="s">
        <v>26</v>
      </c>
      <c r="P3" s="38"/>
      <c r="Q3" s="38"/>
      <c r="R3" s="38"/>
      <c r="S3" s="38"/>
    </row>
    <row r="4" spans="2:19" x14ac:dyDescent="0.15">
      <c r="B4" s="2" t="s">
        <v>17</v>
      </c>
      <c r="C4" s="1">
        <v>2019</v>
      </c>
      <c r="D4" s="1">
        <f>C4+1</f>
        <v>2020</v>
      </c>
      <c r="E4" s="1">
        <f t="shared" ref="E4:G4" si="0">D4+1</f>
        <v>2021</v>
      </c>
      <c r="F4" s="1">
        <f t="shared" si="0"/>
        <v>2022</v>
      </c>
      <c r="G4" s="1">
        <f t="shared" si="0"/>
        <v>2023</v>
      </c>
      <c r="I4" s="1">
        <v>2019</v>
      </c>
      <c r="J4" s="1">
        <f>I4+1</f>
        <v>2020</v>
      </c>
      <c r="K4" s="1">
        <f t="shared" ref="K4:M4" si="1">J4+1</f>
        <v>2021</v>
      </c>
      <c r="L4" s="1">
        <f t="shared" si="1"/>
        <v>2022</v>
      </c>
      <c r="M4" s="1">
        <f t="shared" si="1"/>
        <v>2023</v>
      </c>
      <c r="O4" s="1">
        <v>2019</v>
      </c>
      <c r="P4" s="1">
        <f>O4+1</f>
        <v>2020</v>
      </c>
      <c r="Q4" s="1">
        <f t="shared" ref="Q4:S4" si="2">P4+1</f>
        <v>2021</v>
      </c>
      <c r="R4" s="1">
        <f t="shared" si="2"/>
        <v>2022</v>
      </c>
      <c r="S4" s="1">
        <f t="shared" si="2"/>
        <v>2023</v>
      </c>
    </row>
    <row r="5" spans="2:19" x14ac:dyDescent="0.15">
      <c r="B5" s="8"/>
      <c r="C5" s="9"/>
      <c r="D5" s="9"/>
      <c r="E5" s="9"/>
      <c r="F5" s="9"/>
      <c r="G5" s="9"/>
      <c r="I5" s="9"/>
      <c r="J5" s="9"/>
      <c r="K5" s="9"/>
      <c r="L5" s="9"/>
      <c r="M5" s="9"/>
      <c r="O5" s="9"/>
      <c r="P5" s="9"/>
      <c r="Q5" s="9"/>
      <c r="R5" s="9"/>
      <c r="S5" s="9"/>
    </row>
    <row r="6" spans="2:19" x14ac:dyDescent="0.15">
      <c r="B6" s="3" t="s">
        <v>5</v>
      </c>
      <c r="C6" s="12">
        <f>'Revenue breakdown'!C17</f>
        <v>651</v>
      </c>
      <c r="D6" s="12">
        <f>'Revenue breakdown'!D17</f>
        <v>572</v>
      </c>
      <c r="E6" s="12">
        <f>'Revenue breakdown'!E17</f>
        <v>615</v>
      </c>
      <c r="F6" s="12">
        <f>'Revenue breakdown'!F17</f>
        <v>469</v>
      </c>
      <c r="G6" s="12">
        <f>'Revenue breakdown'!G17</f>
        <v>540</v>
      </c>
      <c r="I6" s="12">
        <v>10</v>
      </c>
      <c r="J6" s="12"/>
      <c r="K6" s="12"/>
      <c r="L6" s="12"/>
      <c r="M6" s="12">
        <v>20</v>
      </c>
      <c r="O6" s="12">
        <f>C6+I6</f>
        <v>661</v>
      </c>
      <c r="P6" s="12">
        <f t="shared" ref="P6:P7" si="3">D6+J6</f>
        <v>572</v>
      </c>
      <c r="Q6" s="12">
        <f t="shared" ref="Q6:Q7" si="4">E6+K6</f>
        <v>615</v>
      </c>
      <c r="R6" s="12">
        <f t="shared" ref="R6:R7" si="5">F6+L6</f>
        <v>469</v>
      </c>
      <c r="S6" s="12">
        <f t="shared" ref="S6:S7" si="6">G6+M6</f>
        <v>560</v>
      </c>
    </row>
    <row r="7" spans="2:19" x14ac:dyDescent="0.15">
      <c r="B7" s="10" t="s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I7" s="13"/>
      <c r="J7" s="13">
        <v>100</v>
      </c>
      <c r="K7" s="13"/>
      <c r="L7" s="13"/>
      <c r="M7" s="13"/>
      <c r="O7" s="12">
        <f t="shared" ref="O7" si="7">C7+I7</f>
        <v>0</v>
      </c>
      <c r="P7" s="12">
        <f t="shared" si="3"/>
        <v>100</v>
      </c>
      <c r="Q7" s="12">
        <f t="shared" si="4"/>
        <v>0</v>
      </c>
      <c r="R7" s="12">
        <f t="shared" si="5"/>
        <v>0</v>
      </c>
      <c r="S7" s="12">
        <f t="shared" si="6"/>
        <v>0</v>
      </c>
    </row>
    <row r="8" spans="2:19" s="6" customFormat="1" x14ac:dyDescent="0.15">
      <c r="B8" s="6" t="s">
        <v>15</v>
      </c>
      <c r="C8" s="14">
        <f>SUM(C7,C6)</f>
        <v>651</v>
      </c>
      <c r="D8" s="14">
        <f>SUM(D7,D6)</f>
        <v>572</v>
      </c>
      <c r="E8" s="14">
        <f>SUM(E7,E6)</f>
        <v>615</v>
      </c>
      <c r="F8" s="14">
        <f>SUM(F7,F6)</f>
        <v>469</v>
      </c>
      <c r="G8" s="14">
        <f>SUM(G7,G6)</f>
        <v>540</v>
      </c>
      <c r="I8" s="14">
        <f>SUM(I7,I6)</f>
        <v>10</v>
      </c>
      <c r="J8" s="14">
        <f>SUM(J7,J6)</f>
        <v>100</v>
      </c>
      <c r="K8" s="14">
        <f>SUM(K7,K6)</f>
        <v>0</v>
      </c>
      <c r="L8" s="14">
        <f>SUM(L7,L6)</f>
        <v>0</v>
      </c>
      <c r="M8" s="14">
        <f>SUM(M7,M6)</f>
        <v>20</v>
      </c>
      <c r="O8" s="14">
        <f>SUM(O7,O6)</f>
        <v>661</v>
      </c>
      <c r="P8" s="14">
        <f>SUM(P7,P6)</f>
        <v>672</v>
      </c>
      <c r="Q8" s="14">
        <f>SUM(Q7,Q6)</f>
        <v>615</v>
      </c>
      <c r="R8" s="14">
        <f>SUM(R7,R6)</f>
        <v>469</v>
      </c>
      <c r="S8" s="14">
        <f>SUM(S7,S6)</f>
        <v>560</v>
      </c>
    </row>
    <row r="9" spans="2:19" s="6" customFormat="1" x14ac:dyDescent="0.15">
      <c r="C9" s="14"/>
      <c r="D9" s="14"/>
      <c r="E9" s="14"/>
      <c r="F9" s="14"/>
      <c r="G9" s="14"/>
      <c r="I9" s="14"/>
      <c r="J9" s="14"/>
      <c r="K9" s="14"/>
      <c r="L9" s="14"/>
      <c r="M9" s="14"/>
      <c r="O9" s="14"/>
      <c r="P9" s="14"/>
      <c r="Q9" s="14"/>
      <c r="R9" s="14"/>
      <c r="S9" s="14"/>
    </row>
    <row r="10" spans="2:19" x14ac:dyDescent="0.15">
      <c r="B10" s="3" t="s">
        <v>13</v>
      </c>
      <c r="C10" s="12">
        <f>-'Cost of good sold breakdown'!C13</f>
        <v>-61</v>
      </c>
      <c r="D10" s="12">
        <f>-'Cost of good sold breakdown'!D13</f>
        <v>-55</v>
      </c>
      <c r="E10" s="12">
        <f>-'Cost of good sold breakdown'!E13</f>
        <v>-44</v>
      </c>
      <c r="F10" s="12">
        <f>-'Cost of good sold breakdown'!F13</f>
        <v>-70</v>
      </c>
      <c r="G10" s="12">
        <f>-'Cost of good sold breakdown'!G13</f>
        <v>-67</v>
      </c>
      <c r="I10" s="12"/>
      <c r="J10" s="12"/>
      <c r="K10" s="12"/>
      <c r="L10" s="12"/>
      <c r="M10" s="12">
        <v>-10</v>
      </c>
      <c r="O10" s="12">
        <f t="shared" ref="O10:S10" si="8">C10+I10</f>
        <v>-61</v>
      </c>
      <c r="P10" s="12">
        <f t="shared" si="8"/>
        <v>-55</v>
      </c>
      <c r="Q10" s="12">
        <f t="shared" si="8"/>
        <v>-44</v>
      </c>
      <c r="R10" s="12">
        <f t="shared" si="8"/>
        <v>-70</v>
      </c>
      <c r="S10" s="12">
        <f t="shared" si="8"/>
        <v>-77</v>
      </c>
    </row>
    <row r="11" spans="2:19" s="6" customFormat="1" x14ac:dyDescent="0.15">
      <c r="B11" s="11" t="s">
        <v>14</v>
      </c>
      <c r="C11" s="15">
        <f>C8+C10</f>
        <v>590</v>
      </c>
      <c r="D11" s="15">
        <f t="shared" ref="D11:G11" si="9">D8+D10</f>
        <v>517</v>
      </c>
      <c r="E11" s="15">
        <f t="shared" si="9"/>
        <v>571</v>
      </c>
      <c r="F11" s="15">
        <f t="shared" si="9"/>
        <v>399</v>
      </c>
      <c r="G11" s="15">
        <f t="shared" si="9"/>
        <v>473</v>
      </c>
      <c r="I11" s="15">
        <f>I8+I10</f>
        <v>10</v>
      </c>
      <c r="J11" s="15">
        <f t="shared" ref="J11:M11" si="10">J8+J10</f>
        <v>100</v>
      </c>
      <c r="K11" s="15">
        <f t="shared" si="10"/>
        <v>0</v>
      </c>
      <c r="L11" s="15">
        <f t="shared" si="10"/>
        <v>0</v>
      </c>
      <c r="M11" s="15">
        <f t="shared" si="10"/>
        <v>10</v>
      </c>
      <c r="O11" s="15">
        <f>O8+O10</f>
        <v>600</v>
      </c>
      <c r="P11" s="15">
        <f t="shared" ref="P11:S11" si="11">P8+P10</f>
        <v>617</v>
      </c>
      <c r="Q11" s="15">
        <f t="shared" si="11"/>
        <v>571</v>
      </c>
      <c r="R11" s="15">
        <f t="shared" si="11"/>
        <v>399</v>
      </c>
      <c r="S11" s="15">
        <f t="shared" si="11"/>
        <v>483</v>
      </c>
    </row>
    <row r="12" spans="2:19" s="7" customFormat="1" ht="11" x14ac:dyDescent="0.15">
      <c r="C12" s="16"/>
      <c r="D12" s="16"/>
      <c r="E12" s="16"/>
      <c r="F12" s="16"/>
      <c r="G12" s="16"/>
      <c r="I12" s="16"/>
      <c r="J12" s="16"/>
      <c r="K12" s="16"/>
      <c r="L12" s="16"/>
      <c r="M12" s="16"/>
      <c r="O12" s="16"/>
      <c r="P12" s="16"/>
      <c r="Q12" s="16"/>
      <c r="R12" s="16"/>
      <c r="S12" s="16"/>
    </row>
    <row r="13" spans="2:19" x14ac:dyDescent="0.15">
      <c r="B13" s="3" t="s">
        <v>1</v>
      </c>
      <c r="C13" s="12">
        <f>-'Operating expenses breakdown'!$C$9</f>
        <v>-23</v>
      </c>
      <c r="D13" s="12">
        <f>-'Operating expenses breakdown'!$C$9</f>
        <v>-23</v>
      </c>
      <c r="E13" s="12">
        <f>-'Operating expenses breakdown'!$C$9</f>
        <v>-23</v>
      </c>
      <c r="F13" s="12">
        <f>-'Operating expenses breakdown'!$C$9</f>
        <v>-23</v>
      </c>
      <c r="G13" s="12">
        <f>-'Operating expenses breakdown'!$C$9</f>
        <v>-23</v>
      </c>
      <c r="I13" s="12"/>
      <c r="J13" s="12"/>
      <c r="K13" s="12"/>
      <c r="L13" s="12"/>
      <c r="M13" s="12"/>
      <c r="O13" s="12">
        <f t="shared" ref="O13:O15" si="12">C13+I13</f>
        <v>-23</v>
      </c>
      <c r="P13" s="12">
        <f t="shared" ref="P13:P15" si="13">D13+J13</f>
        <v>-23</v>
      </c>
      <c r="Q13" s="12">
        <f t="shared" ref="Q13:Q15" si="14">E13+K13</f>
        <v>-23</v>
      </c>
      <c r="R13" s="12">
        <f t="shared" ref="R13:R15" si="15">F13+L13</f>
        <v>-23</v>
      </c>
      <c r="S13" s="12">
        <f t="shared" ref="S13:S15" si="16">G13+M13</f>
        <v>-23</v>
      </c>
    </row>
    <row r="14" spans="2:19" x14ac:dyDescent="0.15">
      <c r="B14" s="3" t="s">
        <v>12</v>
      </c>
      <c r="C14" s="12">
        <f>-('Operating expenses breakdown'!$C$14+'Operating expenses breakdown'!$C$20+'Operating expenses breakdown'!$C$25)</f>
        <v>-66</v>
      </c>
      <c r="D14" s="12">
        <f>-('Operating expenses breakdown'!$C$14+'Operating expenses breakdown'!$C$20+'Operating expenses breakdown'!$C$25)</f>
        <v>-66</v>
      </c>
      <c r="E14" s="12">
        <f>-('Operating expenses breakdown'!$C$14+'Operating expenses breakdown'!$C$20+'Operating expenses breakdown'!$C$25)</f>
        <v>-66</v>
      </c>
      <c r="F14" s="12">
        <f>-('Operating expenses breakdown'!$C$14+'Operating expenses breakdown'!$C$20+'Operating expenses breakdown'!$C$25)</f>
        <v>-66</v>
      </c>
      <c r="G14" s="12">
        <f>-('Operating expenses breakdown'!$C$14+'Operating expenses breakdown'!$C$20+'Operating expenses breakdown'!$C$25)</f>
        <v>-66</v>
      </c>
      <c r="I14" s="12"/>
      <c r="J14" s="12">
        <v>-50</v>
      </c>
      <c r="K14" s="12"/>
      <c r="L14" s="12"/>
      <c r="M14" s="12"/>
      <c r="O14" s="12">
        <f t="shared" si="12"/>
        <v>-66</v>
      </c>
      <c r="P14" s="12">
        <f t="shared" si="13"/>
        <v>-116</v>
      </c>
      <c r="Q14" s="12">
        <f t="shared" si="14"/>
        <v>-66</v>
      </c>
      <c r="R14" s="12">
        <f t="shared" si="15"/>
        <v>-66</v>
      </c>
      <c r="S14" s="12">
        <f t="shared" si="16"/>
        <v>-66</v>
      </c>
    </row>
    <row r="15" spans="2:19" x14ac:dyDescent="0.15">
      <c r="B15" s="3" t="s">
        <v>6</v>
      </c>
      <c r="C15" s="12">
        <f>-'Operating expenses breakdown'!$C$27</f>
        <v>-7</v>
      </c>
      <c r="D15" s="12">
        <f>-'Operating expenses breakdown'!$C$27</f>
        <v>-7</v>
      </c>
      <c r="E15" s="12">
        <f>-'Operating expenses breakdown'!$C$27</f>
        <v>-7</v>
      </c>
      <c r="F15" s="12">
        <f>-'Operating expenses breakdown'!$C$27</f>
        <v>-7</v>
      </c>
      <c r="G15" s="12">
        <f>-'Operating expenses breakdown'!$C$27</f>
        <v>-7</v>
      </c>
      <c r="I15" s="12"/>
      <c r="J15" s="12"/>
      <c r="K15" s="12"/>
      <c r="L15" s="12"/>
      <c r="M15" s="12"/>
      <c r="O15" s="12">
        <f t="shared" si="12"/>
        <v>-7</v>
      </c>
      <c r="P15" s="12">
        <f t="shared" si="13"/>
        <v>-7</v>
      </c>
      <c r="Q15" s="12">
        <f t="shared" si="14"/>
        <v>-7</v>
      </c>
      <c r="R15" s="12">
        <f t="shared" si="15"/>
        <v>-7</v>
      </c>
      <c r="S15" s="12">
        <f t="shared" si="16"/>
        <v>-7</v>
      </c>
    </row>
    <row r="16" spans="2:19" s="6" customFormat="1" x14ac:dyDescent="0.15">
      <c r="B16" s="11" t="s">
        <v>25</v>
      </c>
      <c r="C16" s="15">
        <f>SUM(C13:C15)</f>
        <v>-96</v>
      </c>
      <c r="D16" s="15">
        <f t="shared" ref="D16:G16" si="17">SUM(D13:D15)</f>
        <v>-96</v>
      </c>
      <c r="E16" s="15">
        <f t="shared" si="17"/>
        <v>-96</v>
      </c>
      <c r="F16" s="15">
        <f t="shared" si="17"/>
        <v>-96</v>
      </c>
      <c r="G16" s="15">
        <f t="shared" si="17"/>
        <v>-96</v>
      </c>
      <c r="I16" s="15">
        <f t="shared" ref="I16:M16" si="18">SUM(I13:I15)</f>
        <v>0</v>
      </c>
      <c r="J16" s="15">
        <f t="shared" si="18"/>
        <v>-50</v>
      </c>
      <c r="K16" s="15">
        <f t="shared" si="18"/>
        <v>0</v>
      </c>
      <c r="L16" s="15">
        <f t="shared" si="18"/>
        <v>0</v>
      </c>
      <c r="M16" s="15">
        <f t="shared" si="18"/>
        <v>0</v>
      </c>
      <c r="O16" s="15">
        <f>SUM(O13:O15)</f>
        <v>-96</v>
      </c>
      <c r="P16" s="15">
        <f t="shared" ref="P16" si="19">SUM(P13:P15)</f>
        <v>-146</v>
      </c>
      <c r="Q16" s="15">
        <f t="shared" ref="Q16" si="20">SUM(Q13:Q15)</f>
        <v>-96</v>
      </c>
      <c r="R16" s="15">
        <f t="shared" ref="R16" si="21">SUM(R13:R15)</f>
        <v>-96</v>
      </c>
      <c r="S16" s="15">
        <f t="shared" ref="S16" si="22">SUM(S13:S15)</f>
        <v>-96</v>
      </c>
    </row>
    <row r="17" spans="2:19" x14ac:dyDescent="0.15">
      <c r="B17" s="6"/>
      <c r="C17" s="12"/>
      <c r="D17" s="12"/>
      <c r="E17" s="12"/>
      <c r="F17" s="12"/>
      <c r="G17" s="12"/>
      <c r="I17" s="12"/>
      <c r="J17" s="12"/>
      <c r="K17" s="12"/>
      <c r="L17" s="12"/>
      <c r="M17" s="12"/>
      <c r="O17" s="12"/>
      <c r="P17" s="12"/>
      <c r="Q17" s="12"/>
      <c r="R17" s="12"/>
      <c r="S17" s="12"/>
    </row>
    <row r="18" spans="2:19" s="6" customFormat="1" x14ac:dyDescent="0.15">
      <c r="B18" s="21" t="s">
        <v>2</v>
      </c>
      <c r="C18" s="22">
        <f>C11+C16</f>
        <v>494</v>
      </c>
      <c r="D18" s="22">
        <f t="shared" ref="D18:G18" si="23">D11+D16</f>
        <v>421</v>
      </c>
      <c r="E18" s="22">
        <f t="shared" si="23"/>
        <v>475</v>
      </c>
      <c r="F18" s="22">
        <f t="shared" si="23"/>
        <v>303</v>
      </c>
      <c r="G18" s="22">
        <f t="shared" si="23"/>
        <v>377</v>
      </c>
      <c r="I18" s="22">
        <f>I11+I13+I14+I15</f>
        <v>10</v>
      </c>
      <c r="J18" s="22">
        <f>J11+J13+J14+J15</f>
        <v>50</v>
      </c>
      <c r="K18" s="22">
        <f>K11+K13+K14+K15</f>
        <v>0</v>
      </c>
      <c r="L18" s="22">
        <f>L11+L13+L14+L15</f>
        <v>0</v>
      </c>
      <c r="M18" s="22">
        <f>M11+M13+M14+M15</f>
        <v>10</v>
      </c>
      <c r="O18" s="22">
        <f>O11+O16</f>
        <v>504</v>
      </c>
      <c r="P18" s="22">
        <f t="shared" ref="P18:S18" si="24">P11+P16</f>
        <v>471</v>
      </c>
      <c r="Q18" s="22">
        <f t="shared" si="24"/>
        <v>475</v>
      </c>
      <c r="R18" s="22">
        <f t="shared" si="24"/>
        <v>303</v>
      </c>
      <c r="S18" s="22">
        <f t="shared" si="24"/>
        <v>387</v>
      </c>
    </row>
    <row r="19" spans="2:19" s="7" customFormat="1" ht="11" x14ac:dyDescent="0.15">
      <c r="C19" s="16"/>
      <c r="D19" s="16"/>
      <c r="E19" s="16"/>
      <c r="F19" s="16"/>
      <c r="G19" s="16"/>
      <c r="I19" s="16"/>
      <c r="J19" s="16"/>
      <c r="K19" s="16"/>
      <c r="L19" s="16"/>
      <c r="M19" s="16"/>
      <c r="O19" s="16"/>
      <c r="P19" s="16"/>
      <c r="Q19" s="16"/>
      <c r="R19" s="16"/>
      <c r="S19" s="16"/>
    </row>
    <row r="20" spans="2:19" x14ac:dyDescent="0.15">
      <c r="B20" s="3" t="s">
        <v>7</v>
      </c>
      <c r="C20" s="12">
        <v>-10</v>
      </c>
      <c r="D20" s="12">
        <v>-10</v>
      </c>
      <c r="E20" s="12">
        <v>-10</v>
      </c>
      <c r="F20" s="12">
        <v>-10</v>
      </c>
      <c r="G20" s="12">
        <v>-10</v>
      </c>
      <c r="I20" s="12"/>
      <c r="J20" s="12"/>
      <c r="K20" s="12"/>
      <c r="L20" s="12"/>
      <c r="M20" s="12"/>
      <c r="O20" s="12">
        <f t="shared" ref="O20:S20" si="25">C20+I20</f>
        <v>-10</v>
      </c>
      <c r="P20" s="12">
        <f t="shared" si="25"/>
        <v>-10</v>
      </c>
      <c r="Q20" s="12">
        <f t="shared" si="25"/>
        <v>-10</v>
      </c>
      <c r="R20" s="12">
        <f t="shared" si="25"/>
        <v>-10</v>
      </c>
      <c r="S20" s="12">
        <f t="shared" si="25"/>
        <v>-10</v>
      </c>
    </row>
    <row r="21" spans="2:19" s="6" customFormat="1" x14ac:dyDescent="0.15">
      <c r="B21" s="11" t="s">
        <v>8</v>
      </c>
      <c r="C21" s="15">
        <f>C18+C20</f>
        <v>484</v>
      </c>
      <c r="D21" s="15">
        <f>D18+D20</f>
        <v>411</v>
      </c>
      <c r="E21" s="15">
        <f>E18+E20</f>
        <v>465</v>
      </c>
      <c r="F21" s="15">
        <f>F18+F20</f>
        <v>293</v>
      </c>
      <c r="G21" s="15">
        <f>G18+G20</f>
        <v>367</v>
      </c>
      <c r="I21" s="15">
        <f>I18+I20</f>
        <v>10</v>
      </c>
      <c r="J21" s="15">
        <f>J18+J20</f>
        <v>50</v>
      </c>
      <c r="K21" s="15">
        <f>K18+K20</f>
        <v>0</v>
      </c>
      <c r="L21" s="15">
        <f>L18+L20</f>
        <v>0</v>
      </c>
      <c r="M21" s="15">
        <f>M18+M20</f>
        <v>10</v>
      </c>
      <c r="O21" s="15">
        <f>O18+O20</f>
        <v>494</v>
      </c>
      <c r="P21" s="15">
        <f>P18+P20</f>
        <v>461</v>
      </c>
      <c r="Q21" s="15">
        <f>Q18+Q20</f>
        <v>465</v>
      </c>
      <c r="R21" s="15">
        <f>R18+R20</f>
        <v>293</v>
      </c>
      <c r="S21" s="15">
        <f>S18+S20</f>
        <v>377</v>
      </c>
    </row>
    <row r="22" spans="2:19" s="7" customFormat="1" ht="11" x14ac:dyDescent="0.15">
      <c r="C22" s="16"/>
      <c r="D22" s="16"/>
      <c r="E22" s="16"/>
      <c r="F22" s="16"/>
      <c r="G22" s="16"/>
      <c r="I22" s="16"/>
      <c r="J22" s="16"/>
      <c r="K22" s="16"/>
      <c r="L22" s="16"/>
      <c r="M22" s="16"/>
      <c r="O22" s="16"/>
      <c r="P22" s="16"/>
      <c r="Q22" s="16"/>
      <c r="R22" s="16"/>
      <c r="S22" s="16"/>
    </row>
    <row r="23" spans="2:19" x14ac:dyDescent="0.15">
      <c r="B23" s="3" t="s">
        <v>4</v>
      </c>
      <c r="C23" s="12">
        <v>10</v>
      </c>
      <c r="D23" s="12">
        <v>10</v>
      </c>
      <c r="E23" s="12">
        <v>10</v>
      </c>
      <c r="F23" s="12">
        <v>10</v>
      </c>
      <c r="G23" s="12">
        <v>10</v>
      </c>
      <c r="I23" s="12"/>
      <c r="J23" s="12"/>
      <c r="K23" s="12"/>
      <c r="L23" s="12"/>
      <c r="M23" s="12"/>
      <c r="O23" s="12">
        <f t="shared" ref="O23:O24" si="26">C23+I23</f>
        <v>10</v>
      </c>
      <c r="P23" s="12">
        <f t="shared" ref="P23:P24" si="27">D23+J23</f>
        <v>10</v>
      </c>
      <c r="Q23" s="12">
        <f t="shared" ref="Q23:Q24" si="28">E23+K23</f>
        <v>10</v>
      </c>
      <c r="R23" s="12">
        <f t="shared" ref="R23:R24" si="29">F23+L23</f>
        <v>10</v>
      </c>
      <c r="S23" s="12">
        <f t="shared" ref="S23:S24" si="30">G23+M23</f>
        <v>10</v>
      </c>
    </row>
    <row r="24" spans="2:19" x14ac:dyDescent="0.15">
      <c r="B24" s="3" t="s">
        <v>3</v>
      </c>
      <c r="C24" s="12">
        <v>-5</v>
      </c>
      <c r="D24" s="12">
        <v>-5</v>
      </c>
      <c r="E24" s="12">
        <v>-5</v>
      </c>
      <c r="F24" s="12">
        <v>-5</v>
      </c>
      <c r="G24" s="12">
        <v>-5</v>
      </c>
      <c r="I24" s="12"/>
      <c r="J24" s="12"/>
      <c r="K24" s="12"/>
      <c r="L24" s="12"/>
      <c r="M24" s="12"/>
      <c r="O24" s="12">
        <f t="shared" si="26"/>
        <v>-5</v>
      </c>
      <c r="P24" s="12">
        <f t="shared" si="27"/>
        <v>-5</v>
      </c>
      <c r="Q24" s="12">
        <f t="shared" si="28"/>
        <v>-5</v>
      </c>
      <c r="R24" s="12">
        <f t="shared" si="29"/>
        <v>-5</v>
      </c>
      <c r="S24" s="12">
        <f t="shared" si="30"/>
        <v>-5</v>
      </c>
    </row>
    <row r="25" spans="2:19" s="6" customFormat="1" x14ac:dyDescent="0.15">
      <c r="B25" s="11" t="s">
        <v>9</v>
      </c>
      <c r="C25" s="15">
        <f>C21+C23+C24</f>
        <v>489</v>
      </c>
      <c r="D25" s="15">
        <f>D21+D23+D24</f>
        <v>416</v>
      </c>
      <c r="E25" s="15">
        <f>E21+E23+E24</f>
        <v>470</v>
      </c>
      <c r="F25" s="15">
        <f>F21+F23+F24</f>
        <v>298</v>
      </c>
      <c r="G25" s="15">
        <f>G21+G23+G24</f>
        <v>372</v>
      </c>
      <c r="I25" s="15">
        <f>I21+I23+I24</f>
        <v>10</v>
      </c>
      <c r="J25" s="15">
        <f>J21+J23+J24</f>
        <v>50</v>
      </c>
      <c r="K25" s="15">
        <f>K21+K23+K24</f>
        <v>0</v>
      </c>
      <c r="L25" s="15">
        <f>L21+L23+L24</f>
        <v>0</v>
      </c>
      <c r="M25" s="15">
        <f>M21+M23+M24</f>
        <v>10</v>
      </c>
      <c r="O25" s="15">
        <f>O21+O23+O24</f>
        <v>499</v>
      </c>
      <c r="P25" s="15">
        <f>P21+P23+P24</f>
        <v>466</v>
      </c>
      <c r="Q25" s="15">
        <f>Q21+Q23+Q24</f>
        <v>470</v>
      </c>
      <c r="R25" s="15">
        <f>R21+R23+R24</f>
        <v>298</v>
      </c>
      <c r="S25" s="15">
        <f>S21+S23+S24</f>
        <v>382</v>
      </c>
    </row>
    <row r="26" spans="2:19" x14ac:dyDescent="0.15">
      <c r="C26" s="12"/>
      <c r="D26" s="12"/>
      <c r="E26" s="12"/>
      <c r="F26" s="12"/>
      <c r="G26" s="12"/>
      <c r="I26" s="12"/>
      <c r="J26" s="12"/>
      <c r="K26" s="12"/>
      <c r="L26" s="12"/>
      <c r="M26" s="12"/>
      <c r="O26" s="12"/>
      <c r="P26" s="12"/>
      <c r="Q26" s="12"/>
      <c r="R26" s="12"/>
      <c r="S26" s="12"/>
    </row>
    <row r="27" spans="2:19" ht="14" thickBot="1" x14ac:dyDescent="0.2">
      <c r="B27" s="3" t="s">
        <v>10</v>
      </c>
      <c r="C27" s="12">
        <v>-50</v>
      </c>
      <c r="D27" s="12">
        <v>-50</v>
      </c>
      <c r="E27" s="12">
        <v>-50</v>
      </c>
      <c r="F27" s="12">
        <v>-50</v>
      </c>
      <c r="G27" s="12">
        <v>-50</v>
      </c>
      <c r="I27" s="12"/>
      <c r="J27" s="12"/>
      <c r="K27" s="12"/>
      <c r="L27" s="12"/>
      <c r="M27" s="12"/>
      <c r="O27" s="12">
        <f t="shared" ref="O27:S27" si="31">C27+I27</f>
        <v>-50</v>
      </c>
      <c r="P27" s="12">
        <f t="shared" si="31"/>
        <v>-50</v>
      </c>
      <c r="Q27" s="12">
        <f t="shared" si="31"/>
        <v>-50</v>
      </c>
      <c r="R27" s="12">
        <f t="shared" si="31"/>
        <v>-50</v>
      </c>
      <c r="S27" s="12">
        <f t="shared" si="31"/>
        <v>-50</v>
      </c>
    </row>
    <row r="28" spans="2:19" s="6" customFormat="1" ht="14" thickBot="1" x14ac:dyDescent="0.2">
      <c r="B28" s="24" t="s">
        <v>11</v>
      </c>
      <c r="C28" s="23">
        <f>C25+C27</f>
        <v>439</v>
      </c>
      <c r="D28" s="23">
        <f>D25+D27</f>
        <v>366</v>
      </c>
      <c r="E28" s="23">
        <f>E25+E27</f>
        <v>420</v>
      </c>
      <c r="F28" s="23">
        <f>F25+F27</f>
        <v>248</v>
      </c>
      <c r="G28" s="23">
        <f>G25+G27</f>
        <v>322</v>
      </c>
      <c r="I28" s="23">
        <f>I25+I27</f>
        <v>10</v>
      </c>
      <c r="J28" s="23">
        <f>J25+J27</f>
        <v>50</v>
      </c>
      <c r="K28" s="23">
        <f>K25+K27</f>
        <v>0</v>
      </c>
      <c r="L28" s="23">
        <f>L25+L27</f>
        <v>0</v>
      </c>
      <c r="M28" s="23">
        <f>M25+M27</f>
        <v>10</v>
      </c>
      <c r="O28" s="23">
        <f>O25+O27</f>
        <v>449</v>
      </c>
      <c r="P28" s="23">
        <f>P25+P27</f>
        <v>416</v>
      </c>
      <c r="Q28" s="23">
        <f>Q25+Q27</f>
        <v>420</v>
      </c>
      <c r="R28" s="23">
        <f>R25+R27</f>
        <v>248</v>
      </c>
      <c r="S28" s="23">
        <f>S25+S27</f>
        <v>332</v>
      </c>
    </row>
    <row r="32" spans="2:19" ht="14" thickBot="1" x14ac:dyDescent="0.2"/>
    <row r="33" spans="2:7" x14ac:dyDescent="0.15">
      <c r="B33" s="26" t="s">
        <v>16</v>
      </c>
      <c r="C33" s="27"/>
      <c r="D33" s="27"/>
      <c r="E33" s="27"/>
      <c r="F33" s="27"/>
      <c r="G33" s="28"/>
    </row>
    <row r="34" spans="2:7" x14ac:dyDescent="0.15">
      <c r="B34" s="29" t="s">
        <v>22</v>
      </c>
      <c r="C34" s="30"/>
      <c r="D34" s="30">
        <f>D6/C6-1</f>
        <v>-0.12135176651305679</v>
      </c>
      <c r="E34" s="30">
        <f>E6/D6-1</f>
        <v>7.5174825174825211E-2</v>
      </c>
      <c r="F34" s="30">
        <f>F6/E6-1</f>
        <v>-0.23739837398373986</v>
      </c>
      <c r="G34" s="31">
        <f>G6/F6-1</f>
        <v>0.15138592750533042</v>
      </c>
    </row>
    <row r="35" spans="2:7" x14ac:dyDescent="0.15">
      <c r="B35" s="29" t="s">
        <v>19</v>
      </c>
      <c r="C35" s="30">
        <f>C28/C$8</f>
        <v>0.67434715821812596</v>
      </c>
      <c r="D35" s="30">
        <f>D28/D$8</f>
        <v>0.6398601398601399</v>
      </c>
      <c r="E35" s="30">
        <f>E28/E$8</f>
        <v>0.68292682926829273</v>
      </c>
      <c r="F35" s="30">
        <f>F28/F$8</f>
        <v>0.52878464818763327</v>
      </c>
      <c r="G35" s="31">
        <f>G28/G$8</f>
        <v>0.59629629629629632</v>
      </c>
    </row>
    <row r="36" spans="2:7" x14ac:dyDescent="0.15">
      <c r="B36" s="29" t="s">
        <v>23</v>
      </c>
      <c r="C36" s="3">
        <v>10</v>
      </c>
      <c r="D36" s="3">
        <v>10</v>
      </c>
      <c r="E36" s="3">
        <v>10</v>
      </c>
      <c r="F36" s="3">
        <v>10</v>
      </c>
      <c r="G36" s="32">
        <v>10</v>
      </c>
    </row>
    <row r="37" spans="2:7" ht="14" thickBot="1" x14ac:dyDescent="0.2">
      <c r="B37" s="33" t="s">
        <v>24</v>
      </c>
      <c r="C37" s="34">
        <f>-C13/C36</f>
        <v>2.2999999999999998</v>
      </c>
      <c r="D37" s="34">
        <f>-D13/D36</f>
        <v>2.2999999999999998</v>
      </c>
      <c r="E37" s="34">
        <f>-E13/E36</f>
        <v>2.2999999999999998</v>
      </c>
      <c r="F37" s="34">
        <f>-F13/F36</f>
        <v>2.2999999999999998</v>
      </c>
      <c r="G37" s="35">
        <f>-G13/G36</f>
        <v>2.2999999999999998</v>
      </c>
    </row>
  </sheetData>
  <mergeCells count="3">
    <mergeCell ref="C3:G3"/>
    <mergeCell ref="I3:M3"/>
    <mergeCell ref="O3:S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05AE-4014-EE42-B42F-3E7FFEDD6C5C}">
  <dimension ref="B2:AB52"/>
  <sheetViews>
    <sheetView zoomScale="75" zoomScaleNormal="100" workbookViewId="0">
      <selection activeCell="B2" sqref="B2:N18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8" width="9.42578125" style="3"/>
    <col min="9" max="9" width="20" style="3" customWidth="1"/>
    <col min="10" max="16384" width="9.42578125" style="3"/>
  </cols>
  <sheetData>
    <row r="2" spans="2:28" ht="18" x14ac:dyDescent="0.2">
      <c r="B2" s="5" t="s">
        <v>28</v>
      </c>
    </row>
    <row r="3" spans="2:28" ht="18" x14ac:dyDescent="0.2">
      <c r="B3" s="5"/>
    </row>
    <row r="4" spans="2:28" x14ac:dyDescent="0.15">
      <c r="B4" s="6" t="s">
        <v>29</v>
      </c>
      <c r="P4" s="6" t="s">
        <v>48</v>
      </c>
      <c r="AB4" s="6" t="s">
        <v>55</v>
      </c>
    </row>
    <row r="5" spans="2:28" x14ac:dyDescent="0.15">
      <c r="B5" s="2" t="s">
        <v>17</v>
      </c>
      <c r="C5" s="1">
        <v>2019</v>
      </c>
      <c r="D5" s="1">
        <f>C5+1</f>
        <v>2020</v>
      </c>
      <c r="E5" s="1">
        <f t="shared" ref="E5" si="0">D5+1</f>
        <v>2021</v>
      </c>
      <c r="F5" s="1">
        <f t="shared" ref="F5" si="1">E5+1</f>
        <v>2022</v>
      </c>
      <c r="G5" s="1">
        <f t="shared" ref="G5" si="2">F5+1</f>
        <v>2023</v>
      </c>
      <c r="I5" s="2" t="s">
        <v>31</v>
      </c>
      <c r="J5" s="1">
        <v>2019</v>
      </c>
      <c r="K5" s="1">
        <f>J5+1</f>
        <v>2020</v>
      </c>
      <c r="L5" s="1">
        <f t="shared" ref="L5:N5" si="3">K5+1</f>
        <v>2021</v>
      </c>
      <c r="M5" s="1">
        <f t="shared" si="3"/>
        <v>2022</v>
      </c>
      <c r="N5" s="1">
        <f t="shared" si="3"/>
        <v>2023</v>
      </c>
    </row>
    <row r="6" spans="2:28" x14ac:dyDescent="0.15">
      <c r="B6" s="8"/>
      <c r="C6" s="9"/>
      <c r="D6" s="9"/>
      <c r="E6" s="9"/>
      <c r="F6" s="9"/>
      <c r="G6" s="9"/>
    </row>
    <row r="7" spans="2:28" x14ac:dyDescent="0.15">
      <c r="B7" s="3" t="s">
        <v>30</v>
      </c>
      <c r="C7" s="12">
        <v>9</v>
      </c>
      <c r="D7" s="12">
        <v>24</v>
      </c>
      <c r="E7" s="12">
        <v>69</v>
      </c>
      <c r="F7" s="12">
        <v>25</v>
      </c>
      <c r="G7" s="12">
        <v>34</v>
      </c>
      <c r="I7" s="3" t="s">
        <v>30</v>
      </c>
      <c r="J7" s="25">
        <f>C7/C$17</f>
        <v>1.3824884792626729E-2</v>
      </c>
      <c r="K7" s="25">
        <f t="shared" ref="K7:K16" si="4">D7/D$17</f>
        <v>4.195804195804196E-2</v>
      </c>
      <c r="L7" s="25">
        <f t="shared" ref="L7:L16" si="5">E7/E$17</f>
        <v>0.11219512195121951</v>
      </c>
      <c r="M7" s="25">
        <f t="shared" ref="M7:M16" si="6">F7/F$17</f>
        <v>5.3304904051172705E-2</v>
      </c>
      <c r="N7" s="25">
        <f t="shared" ref="N7:N16" si="7">G7/G$17</f>
        <v>6.2962962962962957E-2</v>
      </c>
    </row>
    <row r="8" spans="2:28" x14ac:dyDescent="0.15">
      <c r="B8" s="3" t="s">
        <v>32</v>
      </c>
      <c r="C8" s="12">
        <v>43</v>
      </c>
      <c r="D8" s="12">
        <v>86</v>
      </c>
      <c r="E8" s="12">
        <v>55</v>
      </c>
      <c r="F8" s="12">
        <v>48</v>
      </c>
      <c r="G8" s="12">
        <v>80</v>
      </c>
      <c r="I8" s="3" t="s">
        <v>32</v>
      </c>
      <c r="J8" s="25">
        <f t="shared" ref="J8:J16" si="8">C8/C$17</f>
        <v>6.6052227342549924E-2</v>
      </c>
      <c r="K8" s="25">
        <f t="shared" si="4"/>
        <v>0.15034965034965034</v>
      </c>
      <c r="L8" s="25">
        <f t="shared" si="5"/>
        <v>8.943089430894309E-2</v>
      </c>
      <c r="M8" s="25">
        <f t="shared" si="6"/>
        <v>0.1023454157782516</v>
      </c>
      <c r="N8" s="25">
        <f t="shared" si="7"/>
        <v>0.14814814814814814</v>
      </c>
    </row>
    <row r="9" spans="2:28" x14ac:dyDescent="0.15">
      <c r="B9" s="3" t="s">
        <v>33</v>
      </c>
      <c r="C9" s="12">
        <v>44</v>
      </c>
      <c r="D9" s="12">
        <v>18</v>
      </c>
      <c r="E9" s="12">
        <v>59</v>
      </c>
      <c r="F9" s="12">
        <v>44</v>
      </c>
      <c r="G9" s="12">
        <v>80</v>
      </c>
      <c r="I9" s="3" t="s">
        <v>33</v>
      </c>
      <c r="J9" s="25">
        <f t="shared" si="8"/>
        <v>6.7588325652841785E-2</v>
      </c>
      <c r="K9" s="25">
        <f t="shared" si="4"/>
        <v>3.1468531468531472E-2</v>
      </c>
      <c r="L9" s="25">
        <f t="shared" si="5"/>
        <v>9.5934959349593493E-2</v>
      </c>
      <c r="M9" s="25">
        <f t="shared" si="6"/>
        <v>9.3816631130063971E-2</v>
      </c>
      <c r="N9" s="25">
        <f t="shared" si="7"/>
        <v>0.14814814814814814</v>
      </c>
    </row>
    <row r="10" spans="2:28" x14ac:dyDescent="0.15">
      <c r="B10" s="3" t="s">
        <v>34</v>
      </c>
      <c r="C10" s="12">
        <v>94</v>
      </c>
      <c r="D10" s="12">
        <v>73</v>
      </c>
      <c r="E10" s="12">
        <v>33</v>
      </c>
      <c r="F10" s="12">
        <v>59</v>
      </c>
      <c r="G10" s="12">
        <v>68</v>
      </c>
      <c r="I10" s="3" t="s">
        <v>34</v>
      </c>
      <c r="J10" s="25">
        <f t="shared" si="8"/>
        <v>0.14439324116743471</v>
      </c>
      <c r="K10" s="25">
        <f t="shared" si="4"/>
        <v>0.12762237762237763</v>
      </c>
      <c r="L10" s="25">
        <f t="shared" si="5"/>
        <v>5.3658536585365853E-2</v>
      </c>
      <c r="M10" s="25">
        <f t="shared" si="6"/>
        <v>0.1257995735607676</v>
      </c>
      <c r="N10" s="25">
        <f t="shared" si="7"/>
        <v>0.12592592592592591</v>
      </c>
    </row>
    <row r="11" spans="2:28" x14ac:dyDescent="0.15">
      <c r="B11" s="3" t="s">
        <v>35</v>
      </c>
      <c r="C11" s="12">
        <v>82</v>
      </c>
      <c r="D11" s="12">
        <v>50</v>
      </c>
      <c r="E11" s="12">
        <v>60</v>
      </c>
      <c r="F11" s="12">
        <v>45</v>
      </c>
      <c r="G11" s="12">
        <v>4</v>
      </c>
      <c r="I11" s="3" t="s">
        <v>35</v>
      </c>
      <c r="J11" s="25">
        <f t="shared" si="8"/>
        <v>0.1259600614439324</v>
      </c>
      <c r="K11" s="25">
        <f t="shared" si="4"/>
        <v>8.7412587412587409E-2</v>
      </c>
      <c r="L11" s="25">
        <f t="shared" si="5"/>
        <v>9.7560975609756101E-2</v>
      </c>
      <c r="M11" s="25">
        <f t="shared" si="6"/>
        <v>9.5948827292110878E-2</v>
      </c>
      <c r="N11" s="25">
        <f t="shared" si="7"/>
        <v>7.4074074074074077E-3</v>
      </c>
    </row>
    <row r="12" spans="2:28" x14ac:dyDescent="0.15">
      <c r="B12" s="3" t="s">
        <v>36</v>
      </c>
      <c r="C12" s="12">
        <v>92</v>
      </c>
      <c r="D12" s="12">
        <v>49</v>
      </c>
      <c r="E12" s="12">
        <v>78</v>
      </c>
      <c r="F12" s="12">
        <v>19</v>
      </c>
      <c r="G12" s="12">
        <v>99</v>
      </c>
      <c r="I12" s="3" t="s">
        <v>36</v>
      </c>
      <c r="J12" s="25">
        <f t="shared" si="8"/>
        <v>0.14132104454685099</v>
      </c>
      <c r="K12" s="25">
        <f t="shared" si="4"/>
        <v>8.5664335664335664E-2</v>
      </c>
      <c r="L12" s="25">
        <f t="shared" si="5"/>
        <v>0.12682926829268293</v>
      </c>
      <c r="M12" s="25">
        <f t="shared" si="6"/>
        <v>4.0511727078891259E-2</v>
      </c>
      <c r="N12" s="25">
        <f t="shared" si="7"/>
        <v>0.18333333333333332</v>
      </c>
    </row>
    <row r="13" spans="2:28" x14ac:dyDescent="0.15">
      <c r="B13" s="3" t="s">
        <v>37</v>
      </c>
      <c r="C13" s="12">
        <v>95</v>
      </c>
      <c r="D13" s="12">
        <v>56</v>
      </c>
      <c r="E13" s="12">
        <v>58</v>
      </c>
      <c r="F13" s="12">
        <v>79</v>
      </c>
      <c r="G13" s="12">
        <v>47</v>
      </c>
      <c r="I13" s="3" t="s">
        <v>37</v>
      </c>
      <c r="J13" s="25">
        <f t="shared" si="8"/>
        <v>0.14592933947772657</v>
      </c>
      <c r="K13" s="25">
        <f t="shared" si="4"/>
        <v>9.7902097902097904E-2</v>
      </c>
      <c r="L13" s="25">
        <f t="shared" si="5"/>
        <v>9.4308943089430899E-2</v>
      </c>
      <c r="M13" s="25">
        <f t="shared" si="6"/>
        <v>0.16844349680170576</v>
      </c>
      <c r="N13" s="25">
        <f t="shared" si="7"/>
        <v>8.7037037037037038E-2</v>
      </c>
    </row>
    <row r="14" spans="2:28" x14ac:dyDescent="0.15">
      <c r="B14" s="3" t="s">
        <v>38</v>
      </c>
      <c r="C14" s="12">
        <v>99</v>
      </c>
      <c r="D14" s="12">
        <v>66</v>
      </c>
      <c r="E14" s="12">
        <v>76</v>
      </c>
      <c r="F14" s="12">
        <v>49</v>
      </c>
      <c r="G14" s="12">
        <v>59</v>
      </c>
      <c r="I14" s="3" t="s">
        <v>38</v>
      </c>
      <c r="J14" s="25">
        <f t="shared" si="8"/>
        <v>0.15207373271889402</v>
      </c>
      <c r="K14" s="25">
        <f t="shared" si="4"/>
        <v>0.11538461538461539</v>
      </c>
      <c r="L14" s="25">
        <f t="shared" si="5"/>
        <v>0.12357723577235773</v>
      </c>
      <c r="M14" s="25">
        <f t="shared" si="6"/>
        <v>0.1044776119402985</v>
      </c>
      <c r="N14" s="25">
        <f t="shared" si="7"/>
        <v>0.10925925925925926</v>
      </c>
    </row>
    <row r="15" spans="2:28" x14ac:dyDescent="0.15">
      <c r="B15" s="3" t="s">
        <v>39</v>
      </c>
      <c r="C15" s="12">
        <v>34</v>
      </c>
      <c r="D15" s="12">
        <v>66</v>
      </c>
      <c r="E15" s="12">
        <v>46</v>
      </c>
      <c r="F15" s="12">
        <v>3</v>
      </c>
      <c r="G15" s="12">
        <v>42</v>
      </c>
      <c r="I15" s="3" t="s">
        <v>39</v>
      </c>
      <c r="J15" s="25">
        <f t="shared" si="8"/>
        <v>5.2227342549923193E-2</v>
      </c>
      <c r="K15" s="25">
        <f t="shared" si="4"/>
        <v>0.11538461538461539</v>
      </c>
      <c r="L15" s="25">
        <f t="shared" si="5"/>
        <v>7.4796747967479676E-2</v>
      </c>
      <c r="M15" s="25">
        <f t="shared" si="6"/>
        <v>6.3965884861407248E-3</v>
      </c>
      <c r="N15" s="25">
        <f t="shared" si="7"/>
        <v>7.7777777777777779E-2</v>
      </c>
    </row>
    <row r="16" spans="2:28" x14ac:dyDescent="0.15">
      <c r="B16" s="3" t="s">
        <v>40</v>
      </c>
      <c r="C16" s="12">
        <v>59</v>
      </c>
      <c r="D16" s="12">
        <v>84</v>
      </c>
      <c r="E16" s="12">
        <v>81</v>
      </c>
      <c r="F16" s="12">
        <v>98</v>
      </c>
      <c r="G16" s="12">
        <v>27</v>
      </c>
      <c r="I16" s="3" t="s">
        <v>40</v>
      </c>
      <c r="J16" s="25">
        <f t="shared" si="8"/>
        <v>9.0629800307219663E-2</v>
      </c>
      <c r="K16" s="25">
        <f t="shared" si="4"/>
        <v>0.14685314685314685</v>
      </c>
      <c r="L16" s="25">
        <f t="shared" si="5"/>
        <v>0.13170731707317074</v>
      </c>
      <c r="M16" s="25">
        <f t="shared" si="6"/>
        <v>0.20895522388059701</v>
      </c>
      <c r="N16" s="25">
        <f t="shared" si="7"/>
        <v>0.05</v>
      </c>
    </row>
    <row r="17" spans="2:28" s="6" customFormat="1" x14ac:dyDescent="0.15">
      <c r="B17" s="17" t="s">
        <v>15</v>
      </c>
      <c r="C17" s="18">
        <f>SUM(C7:C16)</f>
        <v>651</v>
      </c>
      <c r="D17" s="18">
        <f t="shared" ref="D17:G17" si="9">SUM(D7:D16)</f>
        <v>572</v>
      </c>
      <c r="E17" s="18">
        <f t="shared" si="9"/>
        <v>615</v>
      </c>
      <c r="F17" s="18">
        <f t="shared" si="9"/>
        <v>469</v>
      </c>
      <c r="G17" s="18">
        <f t="shared" si="9"/>
        <v>540</v>
      </c>
      <c r="I17" s="17" t="s">
        <v>41</v>
      </c>
      <c r="J17" s="36">
        <f>SUM(J7:J16)</f>
        <v>1</v>
      </c>
      <c r="K17" s="36">
        <f t="shared" ref="K17" si="10">SUM(K7:K16)</f>
        <v>1</v>
      </c>
      <c r="L17" s="36">
        <f t="shared" ref="L17" si="11">SUM(L7:L16)</f>
        <v>1</v>
      </c>
      <c r="M17" s="36">
        <f t="shared" ref="M17" si="12">SUM(M7:M16)</f>
        <v>1</v>
      </c>
      <c r="N17" s="36">
        <f t="shared" ref="N17" si="13">SUM(N7:N16)</f>
        <v>1</v>
      </c>
    </row>
    <row r="18" spans="2:28" s="7" customFormat="1" ht="11" x14ac:dyDescent="0.15">
      <c r="B18" s="19" t="s">
        <v>18</v>
      </c>
      <c r="C18" s="20"/>
      <c r="D18" s="20">
        <f>D17/C17-1</f>
        <v>-0.12135176651305679</v>
      </c>
      <c r="E18" s="20">
        <f t="shared" ref="E18:F18" si="14">E17/D17-1</f>
        <v>7.5174825174825211E-2</v>
      </c>
      <c r="F18" s="20">
        <f t="shared" si="14"/>
        <v>-0.23739837398373986</v>
      </c>
      <c r="G18" s="20">
        <f>G17/F17-1</f>
        <v>0.15138592750533042</v>
      </c>
    </row>
    <row r="24" spans="2:28" x14ac:dyDescent="0.15">
      <c r="B24" s="6" t="s">
        <v>42</v>
      </c>
      <c r="P24" s="6" t="s">
        <v>42</v>
      </c>
      <c r="AB24" s="6" t="s">
        <v>54</v>
      </c>
    </row>
    <row r="25" spans="2:28" x14ac:dyDescent="0.15">
      <c r="B25" s="2" t="s">
        <v>17</v>
      </c>
      <c r="C25" s="1">
        <v>2019</v>
      </c>
      <c r="D25" s="1">
        <f>C25+1</f>
        <v>2020</v>
      </c>
      <c r="E25" s="1">
        <f t="shared" ref="E25:G25" si="15">D25+1</f>
        <v>2021</v>
      </c>
      <c r="F25" s="1">
        <f t="shared" si="15"/>
        <v>2022</v>
      </c>
      <c r="G25" s="1">
        <f t="shared" si="15"/>
        <v>2023</v>
      </c>
      <c r="I25" s="2" t="s">
        <v>31</v>
      </c>
      <c r="J25" s="1">
        <v>2019</v>
      </c>
      <c r="K25" s="1">
        <f>J25+1</f>
        <v>2020</v>
      </c>
      <c r="L25" s="1">
        <f t="shared" ref="L25:N25" si="16">K25+1</f>
        <v>2021</v>
      </c>
      <c r="M25" s="1">
        <f t="shared" si="16"/>
        <v>2022</v>
      </c>
      <c r="N25" s="1">
        <f t="shared" si="16"/>
        <v>2023</v>
      </c>
    </row>
    <row r="26" spans="2:28" x14ac:dyDescent="0.15">
      <c r="B26" s="8"/>
      <c r="C26" s="9"/>
      <c r="D26" s="9"/>
      <c r="E26" s="9"/>
      <c r="F26" s="9"/>
      <c r="G26" s="9"/>
    </row>
    <row r="27" spans="2:28" x14ac:dyDescent="0.15">
      <c r="B27" s="3" t="s">
        <v>43</v>
      </c>
      <c r="C27" s="12">
        <v>190</v>
      </c>
      <c r="D27" s="12">
        <v>201</v>
      </c>
      <c r="E27" s="12">
        <v>216</v>
      </c>
      <c r="F27" s="12">
        <v>176</v>
      </c>
      <c r="G27" s="12">
        <v>262</v>
      </c>
      <c r="I27" s="3" t="s">
        <v>43</v>
      </c>
      <c r="J27" s="25">
        <f>C27/C$32</f>
        <v>0.29185867895545314</v>
      </c>
      <c r="K27" s="25">
        <f t="shared" ref="K27:K31" si="17">D27/D$32</f>
        <v>0.35139860139860141</v>
      </c>
      <c r="L27" s="25">
        <f t="shared" ref="L27:L31" si="18">E27/E$32</f>
        <v>0.35121951219512193</v>
      </c>
      <c r="M27" s="25">
        <f t="shared" ref="M27:M31" si="19">F27/F$32</f>
        <v>0.37526652452025588</v>
      </c>
      <c r="N27" s="25">
        <f t="shared" ref="N27:N31" si="20">G27/G$32</f>
        <v>0.48518518518518516</v>
      </c>
    </row>
    <row r="28" spans="2:28" x14ac:dyDescent="0.15">
      <c r="B28" s="3" t="s">
        <v>44</v>
      </c>
      <c r="C28" s="12">
        <v>93</v>
      </c>
      <c r="D28" s="12">
        <v>150</v>
      </c>
      <c r="E28" s="12">
        <v>127</v>
      </c>
      <c r="F28" s="12">
        <v>101</v>
      </c>
      <c r="G28" s="12">
        <v>69</v>
      </c>
      <c r="I28" s="3" t="s">
        <v>44</v>
      </c>
      <c r="J28" s="25">
        <f t="shared" ref="J28:J31" si="21">C28/C$32</f>
        <v>0.14285714285714285</v>
      </c>
      <c r="K28" s="25">
        <f t="shared" si="17"/>
        <v>0.26223776223776224</v>
      </c>
      <c r="L28" s="25">
        <f t="shared" si="18"/>
        <v>0.20650406504065041</v>
      </c>
      <c r="M28" s="25">
        <f t="shared" si="19"/>
        <v>0.21535181236673773</v>
      </c>
      <c r="N28" s="25">
        <f t="shared" si="20"/>
        <v>0.12777777777777777</v>
      </c>
    </row>
    <row r="29" spans="2:28" x14ac:dyDescent="0.15">
      <c r="B29" s="3" t="s">
        <v>45</v>
      </c>
      <c r="C29" s="12">
        <v>18</v>
      </c>
      <c r="D29" s="12">
        <v>18</v>
      </c>
      <c r="E29" s="12">
        <v>18</v>
      </c>
      <c r="F29" s="12">
        <v>18</v>
      </c>
      <c r="G29" s="12">
        <v>18</v>
      </c>
      <c r="I29" s="3" t="s">
        <v>45</v>
      </c>
      <c r="J29" s="25">
        <f t="shared" si="21"/>
        <v>2.7649769585253458E-2</v>
      </c>
      <c r="K29" s="25">
        <f t="shared" si="17"/>
        <v>3.1468531468531472E-2</v>
      </c>
      <c r="L29" s="25">
        <f t="shared" si="18"/>
        <v>2.9268292682926831E-2</v>
      </c>
      <c r="M29" s="25">
        <f t="shared" si="19"/>
        <v>3.8379530916844352E-2</v>
      </c>
      <c r="N29" s="25">
        <f t="shared" si="20"/>
        <v>3.3333333333333333E-2</v>
      </c>
    </row>
    <row r="30" spans="2:28" x14ac:dyDescent="0.15">
      <c r="B30" s="3" t="s">
        <v>46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I30" s="3" t="s">
        <v>46</v>
      </c>
      <c r="J30" s="25">
        <f t="shared" si="21"/>
        <v>1.5360983102918587E-2</v>
      </c>
      <c r="K30" s="25">
        <f t="shared" si="17"/>
        <v>1.7482517482517484E-2</v>
      </c>
      <c r="L30" s="25">
        <f t="shared" si="18"/>
        <v>1.6260162601626018E-2</v>
      </c>
      <c r="M30" s="25">
        <f t="shared" si="19"/>
        <v>2.1321961620469083E-2</v>
      </c>
      <c r="N30" s="25">
        <f t="shared" si="20"/>
        <v>1.8518518518518517E-2</v>
      </c>
    </row>
    <row r="31" spans="2:28" x14ac:dyDescent="0.15">
      <c r="B31" s="3" t="s">
        <v>47</v>
      </c>
      <c r="C31" s="12">
        <v>340</v>
      </c>
      <c r="D31" s="12">
        <v>193</v>
      </c>
      <c r="E31" s="12">
        <v>244</v>
      </c>
      <c r="F31" s="12">
        <v>164</v>
      </c>
      <c r="G31" s="12">
        <v>181</v>
      </c>
      <c r="I31" s="3" t="s">
        <v>47</v>
      </c>
      <c r="J31" s="25">
        <f t="shared" si="21"/>
        <v>0.52227342549923195</v>
      </c>
      <c r="K31" s="25">
        <f t="shared" si="17"/>
        <v>0.33741258741258739</v>
      </c>
      <c r="L31" s="25">
        <f t="shared" si="18"/>
        <v>0.39674796747967478</v>
      </c>
      <c r="M31" s="25">
        <f t="shared" si="19"/>
        <v>0.34968017057569295</v>
      </c>
      <c r="N31" s="25">
        <f t="shared" si="20"/>
        <v>0.3351851851851852</v>
      </c>
    </row>
    <row r="32" spans="2:28" x14ac:dyDescent="0.15">
      <c r="B32" s="17" t="s">
        <v>15</v>
      </c>
      <c r="C32" s="18">
        <f>SUM(C27:C31)</f>
        <v>651</v>
      </c>
      <c r="D32" s="18">
        <f>SUM(D27:D31)</f>
        <v>572</v>
      </c>
      <c r="E32" s="18">
        <f>SUM(E27:E31)</f>
        <v>615</v>
      </c>
      <c r="F32" s="18">
        <f>SUM(F27:F31)</f>
        <v>469</v>
      </c>
      <c r="G32" s="18">
        <f>SUM(G27:G31)</f>
        <v>540</v>
      </c>
      <c r="H32" s="6"/>
      <c r="I32" s="17" t="s">
        <v>41</v>
      </c>
      <c r="J32" s="36">
        <f>SUM(J27:J31)</f>
        <v>1</v>
      </c>
      <c r="K32" s="36">
        <f>SUM(K27:K31)</f>
        <v>1</v>
      </c>
      <c r="L32" s="36">
        <f>SUM(L27:L31)</f>
        <v>1</v>
      </c>
      <c r="M32" s="36">
        <f>SUM(M27:M31)</f>
        <v>1</v>
      </c>
      <c r="N32" s="36">
        <f>SUM(N27:N31)</f>
        <v>1</v>
      </c>
      <c r="O32" s="6"/>
      <c r="P32" s="6"/>
    </row>
    <row r="33" spans="2:16" x14ac:dyDescent="0.15">
      <c r="B33" s="19" t="s">
        <v>18</v>
      </c>
      <c r="C33" s="20"/>
      <c r="D33" s="20">
        <f>D32/C32-1</f>
        <v>-0.12135176651305679</v>
      </c>
      <c r="E33" s="20">
        <f t="shared" ref="E33" si="22">E32/D32-1</f>
        <v>7.5174825174825211E-2</v>
      </c>
      <c r="F33" s="20">
        <f t="shared" ref="F33" si="23">F32/E32-1</f>
        <v>-0.23739837398373986</v>
      </c>
      <c r="G33" s="20">
        <f>G32/F32-1</f>
        <v>0.15138592750533042</v>
      </c>
      <c r="H33" s="7"/>
      <c r="I33" s="7"/>
      <c r="J33" s="7"/>
      <c r="K33" s="7"/>
      <c r="L33" s="7"/>
      <c r="M33" s="7"/>
      <c r="N33" s="7"/>
      <c r="O33" s="7"/>
      <c r="P33" s="7"/>
    </row>
    <row r="45" spans="2:16" x14ac:dyDescent="0.15">
      <c r="B45" s="6" t="s">
        <v>49</v>
      </c>
    </row>
    <row r="46" spans="2:16" x14ac:dyDescent="0.15">
      <c r="B46" s="2" t="s">
        <v>17</v>
      </c>
      <c r="C46" s="1">
        <v>2019</v>
      </c>
      <c r="D46" s="1">
        <f>C46+1</f>
        <v>2020</v>
      </c>
      <c r="E46" s="1">
        <f t="shared" ref="E46:G46" si="24">D46+1</f>
        <v>2021</v>
      </c>
      <c r="F46" s="1">
        <f t="shared" si="24"/>
        <v>2022</v>
      </c>
      <c r="G46" s="1">
        <f t="shared" si="24"/>
        <v>2023</v>
      </c>
      <c r="I46" s="2" t="s">
        <v>31</v>
      </c>
      <c r="J46" s="1">
        <v>2019</v>
      </c>
      <c r="K46" s="1">
        <f>J46+1</f>
        <v>2020</v>
      </c>
      <c r="L46" s="1">
        <f t="shared" ref="L46:N46" si="25">K46+1</f>
        <v>2021</v>
      </c>
      <c r="M46" s="1">
        <f t="shared" si="25"/>
        <v>2022</v>
      </c>
      <c r="N46" s="1">
        <f t="shared" si="25"/>
        <v>2023</v>
      </c>
      <c r="P46" s="6" t="s">
        <v>53</v>
      </c>
    </row>
    <row r="47" spans="2:16" x14ac:dyDescent="0.15">
      <c r="B47" s="8"/>
      <c r="C47" s="9"/>
      <c r="D47" s="9"/>
      <c r="E47" s="9"/>
      <c r="F47" s="9"/>
      <c r="G47" s="9"/>
    </row>
    <row r="48" spans="2:16" x14ac:dyDescent="0.15">
      <c r="B48" s="3" t="s">
        <v>51</v>
      </c>
      <c r="C48" s="12">
        <v>230</v>
      </c>
      <c r="D48" s="12">
        <v>230</v>
      </c>
      <c r="E48" s="12">
        <v>230</v>
      </c>
      <c r="F48" s="12">
        <v>230</v>
      </c>
      <c r="G48" s="12">
        <v>230</v>
      </c>
      <c r="I48" s="3" t="s">
        <v>51</v>
      </c>
      <c r="J48" s="25">
        <f>C48/C$32</f>
        <v>0.35330261136712748</v>
      </c>
      <c r="K48" s="25">
        <f t="shared" ref="K48:K50" si="26">D48/D$32</f>
        <v>0.40209790209790208</v>
      </c>
      <c r="L48" s="25">
        <f t="shared" ref="L48:L50" si="27">E48/E$32</f>
        <v>0.37398373983739835</v>
      </c>
      <c r="M48" s="25">
        <f t="shared" ref="M48:M50" si="28">F48/F$32</f>
        <v>0.49040511727078889</v>
      </c>
      <c r="N48" s="25">
        <f t="shared" ref="N48:N50" si="29">G48/G$32</f>
        <v>0.42592592592592593</v>
      </c>
    </row>
    <row r="49" spans="2:14" x14ac:dyDescent="0.15">
      <c r="B49" s="3" t="s">
        <v>52</v>
      </c>
      <c r="C49" s="12">
        <v>180</v>
      </c>
      <c r="D49" s="12">
        <v>180</v>
      </c>
      <c r="E49" s="12">
        <v>180</v>
      </c>
      <c r="F49" s="12">
        <v>180</v>
      </c>
      <c r="G49" s="12">
        <v>180</v>
      </c>
      <c r="I49" s="3" t="s">
        <v>52</v>
      </c>
      <c r="J49" s="25">
        <f t="shared" ref="J49:J50" si="30">C49/C$32</f>
        <v>0.27649769585253459</v>
      </c>
      <c r="K49" s="25">
        <f t="shared" si="26"/>
        <v>0.31468531468531469</v>
      </c>
      <c r="L49" s="25">
        <f t="shared" si="27"/>
        <v>0.29268292682926828</v>
      </c>
      <c r="M49" s="25">
        <f t="shared" si="28"/>
        <v>0.38379530916844351</v>
      </c>
      <c r="N49" s="25">
        <f t="shared" si="29"/>
        <v>0.33333333333333331</v>
      </c>
    </row>
    <row r="50" spans="2:14" x14ac:dyDescent="0.15">
      <c r="B50" s="3" t="s">
        <v>50</v>
      </c>
      <c r="C50" s="12">
        <v>241</v>
      </c>
      <c r="D50" s="12">
        <v>162</v>
      </c>
      <c r="E50" s="12">
        <v>205</v>
      </c>
      <c r="F50" s="12">
        <v>59</v>
      </c>
      <c r="G50" s="12">
        <v>130</v>
      </c>
      <c r="I50" s="3" t="s">
        <v>50</v>
      </c>
      <c r="J50" s="25">
        <f t="shared" si="30"/>
        <v>0.37019969278033793</v>
      </c>
      <c r="K50" s="25">
        <f t="shared" si="26"/>
        <v>0.28321678321678323</v>
      </c>
      <c r="L50" s="25">
        <f t="shared" si="27"/>
        <v>0.33333333333333331</v>
      </c>
      <c r="M50" s="25">
        <f t="shared" si="28"/>
        <v>0.1257995735607676</v>
      </c>
      <c r="N50" s="25">
        <f t="shared" si="29"/>
        <v>0.24074074074074073</v>
      </c>
    </row>
    <row r="51" spans="2:14" x14ac:dyDescent="0.15">
      <c r="B51" s="17" t="s">
        <v>15</v>
      </c>
      <c r="C51" s="18">
        <f>SUM(C48:C50)</f>
        <v>651</v>
      </c>
      <c r="D51" s="18">
        <f>SUM(D48:D50)</f>
        <v>572</v>
      </c>
      <c r="E51" s="18">
        <f>SUM(E48:E50)</f>
        <v>615</v>
      </c>
      <c r="F51" s="18">
        <f>SUM(F48:F50)</f>
        <v>469</v>
      </c>
      <c r="G51" s="18">
        <f>SUM(G48:G50)</f>
        <v>540</v>
      </c>
      <c r="H51" s="6"/>
      <c r="I51" s="17" t="s">
        <v>41</v>
      </c>
      <c r="J51" s="36">
        <f>SUM(J48:J50)</f>
        <v>1</v>
      </c>
      <c r="K51" s="36">
        <f>SUM(K48:K50)</f>
        <v>1</v>
      </c>
      <c r="L51" s="36">
        <f>SUM(L48:L50)</f>
        <v>1</v>
      </c>
      <c r="M51" s="36">
        <f>SUM(M48:M50)</f>
        <v>1</v>
      </c>
      <c r="N51" s="36">
        <f>SUM(N48:N50)</f>
        <v>1</v>
      </c>
    </row>
    <row r="52" spans="2:14" x14ac:dyDescent="0.15">
      <c r="B52" s="19" t="s">
        <v>18</v>
      </c>
      <c r="C52" s="20"/>
      <c r="D52" s="20">
        <f>D51/C51-1</f>
        <v>-0.12135176651305679</v>
      </c>
      <c r="E52" s="20">
        <f t="shared" ref="E52" si="31">E51/D51-1</f>
        <v>7.5174825174825211E-2</v>
      </c>
      <c r="F52" s="20">
        <f t="shared" ref="F52" si="32">F51/E51-1</f>
        <v>-0.23739837398373986</v>
      </c>
      <c r="G52" s="20">
        <f>G51/F51-1</f>
        <v>0.15138592750533042</v>
      </c>
      <c r="H52" s="7"/>
      <c r="I52" s="7"/>
      <c r="J52" s="7"/>
      <c r="K52" s="7"/>
      <c r="L52" s="7"/>
      <c r="M52" s="7"/>
      <c r="N52" s="7"/>
    </row>
  </sheetData>
  <conditionalFormatting sqref="J17:N17">
    <cfRule type="cellIs" dxfId="14" priority="7" operator="equal">
      <formula>1</formula>
    </cfRule>
    <cfRule type="cellIs" dxfId="13" priority="8" operator="greaterThan">
      <formula>1</formula>
    </cfRule>
    <cfRule type="cellIs" dxfId="12" priority="9" operator="lessThan">
      <formula>1</formula>
    </cfRule>
  </conditionalFormatting>
  <conditionalFormatting sqref="J32:N32">
    <cfRule type="cellIs" dxfId="11" priority="4" operator="equal">
      <formula>1</formula>
    </cfRule>
    <cfRule type="cellIs" dxfId="10" priority="5" operator="greaterThan">
      <formula>1</formula>
    </cfRule>
    <cfRule type="cellIs" dxfId="9" priority="6" operator="lessThan">
      <formula>1</formula>
    </cfRule>
  </conditionalFormatting>
  <conditionalFormatting sqref="J51:N51">
    <cfRule type="cellIs" dxfId="8" priority="1" operator="equal">
      <formula>1</formula>
    </cfRule>
    <cfRule type="cellIs" dxfId="7" priority="2" operator="greaterThan">
      <formula>1</formula>
    </cfRule>
    <cfRule type="cellIs" dxfId="6" priority="3" operator="lessThan">
      <formula>1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3BC0-23A4-0044-A84E-14B58BC5A7E9}">
  <dimension ref="B2:N13"/>
  <sheetViews>
    <sheetView zoomScale="109" zoomScaleNormal="100" workbookViewId="0">
      <selection activeCell="F35" sqref="F35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8" width="9.42578125" style="3"/>
    <col min="9" max="9" width="20" style="3" customWidth="1"/>
    <col min="10" max="16384" width="9.42578125" style="3"/>
  </cols>
  <sheetData>
    <row r="2" spans="2:14" ht="18" x14ac:dyDescent="0.2">
      <c r="B2" s="5" t="s">
        <v>56</v>
      </c>
    </row>
    <row r="3" spans="2:14" ht="18" x14ac:dyDescent="0.2">
      <c r="B3" s="5"/>
    </row>
    <row r="4" spans="2:14" x14ac:dyDescent="0.15">
      <c r="B4" s="2" t="s">
        <v>17</v>
      </c>
      <c r="C4" s="1">
        <v>2019</v>
      </c>
      <c r="D4" s="1">
        <f>C4+1</f>
        <v>2020</v>
      </c>
      <c r="E4" s="1">
        <f t="shared" ref="E4:G4" si="0">D4+1</f>
        <v>2021</v>
      </c>
      <c r="F4" s="1">
        <f t="shared" si="0"/>
        <v>2022</v>
      </c>
      <c r="G4" s="1">
        <f t="shared" si="0"/>
        <v>2023</v>
      </c>
      <c r="I4" s="2" t="s">
        <v>64</v>
      </c>
      <c r="J4" s="1">
        <v>2019</v>
      </c>
      <c r="K4" s="1">
        <f>J4+1</f>
        <v>2020</v>
      </c>
      <c r="L4" s="1">
        <f t="shared" ref="L4:N4" si="1">K4+1</f>
        <v>2021</v>
      </c>
      <c r="M4" s="1">
        <f t="shared" si="1"/>
        <v>2022</v>
      </c>
      <c r="N4" s="1">
        <f t="shared" si="1"/>
        <v>2023</v>
      </c>
    </row>
    <row r="5" spans="2:14" x14ac:dyDescent="0.15">
      <c r="B5" s="8"/>
      <c r="C5" s="9"/>
      <c r="D5" s="9"/>
      <c r="E5" s="9"/>
      <c r="F5" s="9"/>
      <c r="G5" s="9"/>
    </row>
    <row r="6" spans="2:14" x14ac:dyDescent="0.15">
      <c r="B6" s="3" t="s">
        <v>57</v>
      </c>
      <c r="C6" s="12">
        <v>7</v>
      </c>
      <c r="D6" s="12">
        <v>10</v>
      </c>
      <c r="E6" s="12">
        <v>2</v>
      </c>
      <c r="F6" s="12">
        <v>12</v>
      </c>
      <c r="G6" s="12">
        <v>7</v>
      </c>
      <c r="I6" s="3" t="s">
        <v>57</v>
      </c>
      <c r="J6" s="25">
        <f t="shared" ref="J6:N12" si="2">C6/C$13</f>
        <v>0.11475409836065574</v>
      </c>
      <c r="K6" s="25">
        <f t="shared" si="2"/>
        <v>0.18181818181818182</v>
      </c>
      <c r="L6" s="25">
        <f t="shared" si="2"/>
        <v>4.5454545454545456E-2</v>
      </c>
      <c r="M6" s="25">
        <f t="shared" si="2"/>
        <v>0.17142857142857143</v>
      </c>
      <c r="N6" s="25">
        <f t="shared" si="2"/>
        <v>0.1044776119402985</v>
      </c>
    </row>
    <row r="7" spans="2:14" x14ac:dyDescent="0.15">
      <c r="B7" s="3" t="s">
        <v>58</v>
      </c>
      <c r="C7" s="12">
        <v>13</v>
      </c>
      <c r="D7" s="12">
        <v>6</v>
      </c>
      <c r="E7" s="12">
        <v>9</v>
      </c>
      <c r="F7" s="12">
        <v>20</v>
      </c>
      <c r="G7" s="12">
        <v>2</v>
      </c>
      <c r="I7" s="3" t="s">
        <v>58</v>
      </c>
      <c r="J7" s="25">
        <f t="shared" si="2"/>
        <v>0.21311475409836064</v>
      </c>
      <c r="K7" s="25">
        <f t="shared" si="2"/>
        <v>0.10909090909090909</v>
      </c>
      <c r="L7" s="25">
        <f t="shared" si="2"/>
        <v>0.20454545454545456</v>
      </c>
      <c r="M7" s="25">
        <f t="shared" si="2"/>
        <v>0.2857142857142857</v>
      </c>
      <c r="N7" s="25">
        <f t="shared" si="2"/>
        <v>2.9850746268656716E-2</v>
      </c>
    </row>
    <row r="8" spans="2:14" x14ac:dyDescent="0.15">
      <c r="B8" s="3" t="s">
        <v>59</v>
      </c>
      <c r="C8" s="12">
        <v>3</v>
      </c>
      <c r="D8" s="12">
        <v>9</v>
      </c>
      <c r="E8" s="12">
        <v>2</v>
      </c>
      <c r="F8" s="12">
        <v>9</v>
      </c>
      <c r="G8" s="12">
        <v>9</v>
      </c>
      <c r="I8" s="3" t="s">
        <v>59</v>
      </c>
      <c r="J8" s="25">
        <f t="shared" si="2"/>
        <v>4.9180327868852458E-2</v>
      </c>
      <c r="K8" s="25">
        <f t="shared" si="2"/>
        <v>0.16363636363636364</v>
      </c>
      <c r="L8" s="25">
        <f t="shared" si="2"/>
        <v>4.5454545454545456E-2</v>
      </c>
      <c r="M8" s="25">
        <f t="shared" si="2"/>
        <v>0.12857142857142856</v>
      </c>
      <c r="N8" s="25">
        <f t="shared" si="2"/>
        <v>0.13432835820895522</v>
      </c>
    </row>
    <row r="9" spans="2:14" x14ac:dyDescent="0.15">
      <c r="B9" s="3" t="s">
        <v>60</v>
      </c>
      <c r="C9" s="12">
        <v>14</v>
      </c>
      <c r="D9" s="12">
        <v>3</v>
      </c>
      <c r="E9" s="12">
        <v>1</v>
      </c>
      <c r="F9" s="12">
        <v>10</v>
      </c>
      <c r="G9" s="12">
        <v>18</v>
      </c>
      <c r="I9" s="3" t="s">
        <v>60</v>
      </c>
      <c r="J9" s="25">
        <f t="shared" si="2"/>
        <v>0.22950819672131148</v>
      </c>
      <c r="K9" s="25">
        <f t="shared" si="2"/>
        <v>5.4545454545454543E-2</v>
      </c>
      <c r="L9" s="25">
        <f t="shared" si="2"/>
        <v>2.2727272727272728E-2</v>
      </c>
      <c r="M9" s="25">
        <f t="shared" si="2"/>
        <v>0.14285714285714285</v>
      </c>
      <c r="N9" s="25">
        <f t="shared" si="2"/>
        <v>0.26865671641791045</v>
      </c>
    </row>
    <row r="10" spans="2:14" x14ac:dyDescent="0.15">
      <c r="B10" s="3" t="s">
        <v>61</v>
      </c>
      <c r="C10" s="12">
        <v>6</v>
      </c>
      <c r="D10" s="12">
        <v>10</v>
      </c>
      <c r="E10" s="12">
        <v>6</v>
      </c>
      <c r="F10" s="12">
        <v>3</v>
      </c>
      <c r="G10" s="12">
        <v>15</v>
      </c>
      <c r="I10" s="3" t="s">
        <v>61</v>
      </c>
      <c r="J10" s="25">
        <f t="shared" si="2"/>
        <v>9.8360655737704916E-2</v>
      </c>
      <c r="K10" s="25">
        <f t="shared" si="2"/>
        <v>0.18181818181818182</v>
      </c>
      <c r="L10" s="25">
        <f t="shared" si="2"/>
        <v>0.13636363636363635</v>
      </c>
      <c r="M10" s="25">
        <f t="shared" si="2"/>
        <v>4.2857142857142858E-2</v>
      </c>
      <c r="N10" s="25">
        <f t="shared" si="2"/>
        <v>0.22388059701492538</v>
      </c>
    </row>
    <row r="11" spans="2:14" x14ac:dyDescent="0.15">
      <c r="B11" s="3" t="s">
        <v>62</v>
      </c>
      <c r="C11" s="12">
        <v>11</v>
      </c>
      <c r="D11" s="12">
        <v>12</v>
      </c>
      <c r="E11" s="12">
        <v>13</v>
      </c>
      <c r="F11" s="12">
        <v>14</v>
      </c>
      <c r="G11" s="12">
        <v>15</v>
      </c>
      <c r="I11" s="3" t="s">
        <v>62</v>
      </c>
      <c r="J11" s="25">
        <f t="shared" si="2"/>
        <v>0.18032786885245902</v>
      </c>
      <c r="K11" s="25">
        <f t="shared" si="2"/>
        <v>0.21818181818181817</v>
      </c>
      <c r="L11" s="25">
        <f t="shared" si="2"/>
        <v>0.29545454545454547</v>
      </c>
      <c r="M11" s="25">
        <f t="shared" si="2"/>
        <v>0.2</v>
      </c>
      <c r="N11" s="25">
        <f t="shared" si="2"/>
        <v>0.22388059701492538</v>
      </c>
    </row>
    <row r="12" spans="2:14" x14ac:dyDescent="0.15">
      <c r="B12" s="3" t="s">
        <v>6</v>
      </c>
      <c r="C12" s="12">
        <v>7</v>
      </c>
      <c r="D12" s="12">
        <v>5</v>
      </c>
      <c r="E12" s="12">
        <v>11</v>
      </c>
      <c r="F12" s="12">
        <v>2</v>
      </c>
      <c r="G12" s="12">
        <v>1</v>
      </c>
      <c r="I12" s="3" t="s">
        <v>6</v>
      </c>
      <c r="J12" s="25">
        <f t="shared" si="2"/>
        <v>0.11475409836065574</v>
      </c>
      <c r="K12" s="25">
        <f t="shared" si="2"/>
        <v>9.0909090909090912E-2</v>
      </c>
      <c r="L12" s="25">
        <f t="shared" si="2"/>
        <v>0.25</v>
      </c>
      <c r="M12" s="25">
        <f t="shared" si="2"/>
        <v>2.8571428571428571E-2</v>
      </c>
      <c r="N12" s="25">
        <f t="shared" si="2"/>
        <v>1.4925373134328358E-2</v>
      </c>
    </row>
    <row r="13" spans="2:14" s="6" customFormat="1" x14ac:dyDescent="0.15">
      <c r="B13" s="21" t="s">
        <v>63</v>
      </c>
      <c r="C13" s="22">
        <f>SUM(C6:C12)</f>
        <v>61</v>
      </c>
      <c r="D13" s="22">
        <f>SUM(D6:D12)</f>
        <v>55</v>
      </c>
      <c r="E13" s="22">
        <f>SUM(E6:E12)</f>
        <v>44</v>
      </c>
      <c r="F13" s="22">
        <f>SUM(F6:F12)</f>
        <v>70</v>
      </c>
      <c r="G13" s="22">
        <f>SUM(G6:G12)</f>
        <v>67</v>
      </c>
      <c r="I13" s="17" t="s">
        <v>41</v>
      </c>
      <c r="J13" s="36">
        <f>SUM(J6:J12)</f>
        <v>1</v>
      </c>
      <c r="K13" s="36">
        <f>SUM(K6:K12)</f>
        <v>1</v>
      </c>
      <c r="L13" s="36">
        <f>SUM(L6:L12)</f>
        <v>1</v>
      </c>
      <c r="M13" s="36">
        <f>SUM(M6:M12)</f>
        <v>0.99999999999999989</v>
      </c>
      <c r="N13" s="36">
        <f>SUM(N6:N12)</f>
        <v>1</v>
      </c>
    </row>
  </sheetData>
  <conditionalFormatting sqref="J13:N13">
    <cfRule type="cellIs" dxfId="5" priority="7" operator="equal">
      <formula>1</formula>
    </cfRule>
    <cfRule type="cellIs" dxfId="4" priority="8" operator="greaterThan">
      <formula>1</formula>
    </cfRule>
    <cfRule type="cellIs" dxfId="3" priority="9" operator="lessThan">
      <formula>1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C12B-AD84-E843-AC7E-7C4C0C8F7A4B}">
  <dimension ref="B2:N28"/>
  <sheetViews>
    <sheetView tabSelected="1" zoomScale="109" zoomScaleNormal="100" workbookViewId="0">
      <selection activeCell="B32" sqref="B32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8" width="9.42578125" style="3"/>
    <col min="9" max="9" width="32.28515625" style="3" customWidth="1"/>
    <col min="10" max="16384" width="9.42578125" style="3"/>
  </cols>
  <sheetData>
    <row r="2" spans="2:14" ht="18" x14ac:dyDescent="0.2">
      <c r="B2" s="5" t="s">
        <v>65</v>
      </c>
    </row>
    <row r="3" spans="2:14" ht="18" x14ac:dyDescent="0.2">
      <c r="B3" s="5"/>
    </row>
    <row r="4" spans="2:14" x14ac:dyDescent="0.15">
      <c r="B4" s="2" t="s">
        <v>17</v>
      </c>
      <c r="C4" s="1">
        <v>2019</v>
      </c>
      <c r="D4" s="1">
        <f>C4+1</f>
        <v>2020</v>
      </c>
      <c r="E4" s="1">
        <f t="shared" ref="E4:G4" si="0">D4+1</f>
        <v>2021</v>
      </c>
      <c r="F4" s="1">
        <f t="shared" si="0"/>
        <v>2022</v>
      </c>
      <c r="G4" s="1">
        <f t="shared" si="0"/>
        <v>2023</v>
      </c>
      <c r="I4" s="2" t="s">
        <v>84</v>
      </c>
      <c r="J4" s="1">
        <v>2019</v>
      </c>
      <c r="K4" s="1">
        <f>J4+1</f>
        <v>2020</v>
      </c>
      <c r="L4" s="1">
        <f t="shared" ref="L4:N4" si="1">K4+1</f>
        <v>2021</v>
      </c>
      <c r="M4" s="1">
        <f t="shared" si="1"/>
        <v>2022</v>
      </c>
      <c r="N4" s="1">
        <f t="shared" si="1"/>
        <v>2023</v>
      </c>
    </row>
    <row r="5" spans="2:14" x14ac:dyDescent="0.15">
      <c r="B5" s="8"/>
      <c r="C5" s="9"/>
      <c r="D5" s="9"/>
      <c r="E5" s="9"/>
      <c r="F5" s="9"/>
      <c r="G5" s="9"/>
    </row>
    <row r="6" spans="2:14" x14ac:dyDescent="0.15">
      <c r="B6" s="3" t="s">
        <v>66</v>
      </c>
      <c r="C6" s="12">
        <v>7</v>
      </c>
      <c r="D6" s="12">
        <v>10</v>
      </c>
      <c r="E6" s="12">
        <v>2</v>
      </c>
      <c r="F6" s="12">
        <v>12</v>
      </c>
      <c r="G6" s="12">
        <v>7</v>
      </c>
      <c r="I6" s="3" t="s">
        <v>66</v>
      </c>
      <c r="J6" s="25">
        <f t="shared" ref="J6:N9" si="2">C6/C$28</f>
        <v>7.2916666666666671E-2</v>
      </c>
      <c r="K6" s="25">
        <f t="shared" si="2"/>
        <v>0.1111111111111111</v>
      </c>
      <c r="L6" s="25">
        <f t="shared" si="2"/>
        <v>2.7397260273972601E-2</v>
      </c>
      <c r="M6" s="25">
        <f t="shared" si="2"/>
        <v>0.1111111111111111</v>
      </c>
      <c r="N6" s="25">
        <f t="shared" si="2"/>
        <v>8.0459770114942528E-2</v>
      </c>
    </row>
    <row r="7" spans="2:14" x14ac:dyDescent="0.15">
      <c r="B7" s="3" t="s">
        <v>67</v>
      </c>
      <c r="C7" s="12">
        <v>13</v>
      </c>
      <c r="D7" s="12">
        <v>6</v>
      </c>
      <c r="E7" s="12">
        <v>9</v>
      </c>
      <c r="F7" s="12">
        <v>20</v>
      </c>
      <c r="G7" s="12">
        <v>2</v>
      </c>
      <c r="I7" s="3" t="s">
        <v>67</v>
      </c>
      <c r="J7" s="25">
        <f t="shared" si="2"/>
        <v>0.13541666666666666</v>
      </c>
      <c r="K7" s="25">
        <f t="shared" si="2"/>
        <v>6.6666666666666666E-2</v>
      </c>
      <c r="L7" s="25">
        <f t="shared" si="2"/>
        <v>0.12328767123287671</v>
      </c>
      <c r="M7" s="25">
        <f t="shared" si="2"/>
        <v>0.18518518518518517</v>
      </c>
      <c r="N7" s="25">
        <f t="shared" si="2"/>
        <v>2.2988505747126436E-2</v>
      </c>
    </row>
    <row r="8" spans="2:14" x14ac:dyDescent="0.15">
      <c r="B8" s="3" t="s">
        <v>68</v>
      </c>
      <c r="C8" s="12">
        <v>3</v>
      </c>
      <c r="D8" s="12">
        <v>9</v>
      </c>
      <c r="E8" s="12">
        <v>2</v>
      </c>
      <c r="F8" s="12">
        <v>9</v>
      </c>
      <c r="G8" s="12">
        <v>9</v>
      </c>
      <c r="I8" s="3" t="s">
        <v>68</v>
      </c>
      <c r="J8" s="25">
        <f t="shared" si="2"/>
        <v>3.125E-2</v>
      </c>
      <c r="K8" s="25">
        <f t="shared" si="2"/>
        <v>0.1</v>
      </c>
      <c r="L8" s="25">
        <f t="shared" si="2"/>
        <v>2.7397260273972601E-2</v>
      </c>
      <c r="M8" s="25">
        <f t="shared" si="2"/>
        <v>8.3333333333333329E-2</v>
      </c>
      <c r="N8" s="25">
        <f t="shared" si="2"/>
        <v>0.10344827586206896</v>
      </c>
    </row>
    <row r="9" spans="2:14" x14ac:dyDescent="0.15">
      <c r="B9" s="11" t="s">
        <v>69</v>
      </c>
      <c r="C9" s="15">
        <f>SUM(C6:C8)</f>
        <v>23</v>
      </c>
      <c r="D9" s="15">
        <f t="shared" ref="D9:G9" si="3">SUM(D6:D8)</f>
        <v>25</v>
      </c>
      <c r="E9" s="15">
        <f t="shared" si="3"/>
        <v>13</v>
      </c>
      <c r="F9" s="15">
        <f t="shared" si="3"/>
        <v>41</v>
      </c>
      <c r="G9" s="15">
        <f t="shared" si="3"/>
        <v>18</v>
      </c>
      <c r="I9" s="11" t="s">
        <v>69</v>
      </c>
      <c r="J9" s="37">
        <f t="shared" si="2"/>
        <v>0.23958333333333334</v>
      </c>
      <c r="K9" s="37">
        <f t="shared" si="2"/>
        <v>0.27777777777777779</v>
      </c>
      <c r="L9" s="37">
        <f t="shared" si="2"/>
        <v>0.17808219178082191</v>
      </c>
      <c r="M9" s="37">
        <f t="shared" si="2"/>
        <v>0.37962962962962965</v>
      </c>
      <c r="N9" s="37">
        <f t="shared" si="2"/>
        <v>0.20689655172413793</v>
      </c>
    </row>
    <row r="10" spans="2:14" x14ac:dyDescent="0.15">
      <c r="B10" s="6"/>
      <c r="C10" s="14"/>
      <c r="D10" s="14"/>
      <c r="E10" s="14"/>
      <c r="F10" s="14"/>
      <c r="G10" s="14"/>
      <c r="I10" s="6"/>
      <c r="J10" s="25"/>
      <c r="K10" s="25"/>
      <c r="L10" s="25"/>
      <c r="M10" s="25"/>
      <c r="N10" s="25"/>
    </row>
    <row r="11" spans="2:14" x14ac:dyDescent="0.15">
      <c r="B11" s="3" t="s">
        <v>82</v>
      </c>
      <c r="C11" s="12">
        <v>6</v>
      </c>
      <c r="D11" s="12">
        <v>10</v>
      </c>
      <c r="E11" s="12">
        <v>6</v>
      </c>
      <c r="F11" s="12">
        <v>3</v>
      </c>
      <c r="G11" s="12">
        <v>15</v>
      </c>
      <c r="I11" s="3" t="s">
        <v>82</v>
      </c>
      <c r="J11" s="25">
        <f t="shared" ref="J11:J14" si="4">C11/C$28</f>
        <v>6.25E-2</v>
      </c>
      <c r="K11" s="25">
        <f t="shared" ref="K11:K14" si="5">D11/D$28</f>
        <v>0.1111111111111111</v>
      </c>
      <c r="L11" s="25">
        <f t="shared" ref="L11:L14" si="6">E11/E$28</f>
        <v>8.2191780821917804E-2</v>
      </c>
      <c r="M11" s="25">
        <f t="shared" ref="M11:M14" si="7">F11/F$28</f>
        <v>2.7777777777777776E-2</v>
      </c>
      <c r="N11" s="25">
        <f t="shared" ref="N11:N14" si="8">G11/G$28</f>
        <v>0.17241379310344829</v>
      </c>
    </row>
    <row r="12" spans="2:14" x14ac:dyDescent="0.15">
      <c r="B12" s="3" t="s">
        <v>83</v>
      </c>
      <c r="C12" s="12">
        <v>3</v>
      </c>
      <c r="D12" s="12">
        <v>5</v>
      </c>
      <c r="E12" s="12">
        <v>5</v>
      </c>
      <c r="F12" s="12">
        <v>5</v>
      </c>
      <c r="G12" s="12">
        <v>1</v>
      </c>
      <c r="I12" s="3" t="s">
        <v>83</v>
      </c>
      <c r="J12" s="25">
        <f t="shared" si="4"/>
        <v>3.125E-2</v>
      </c>
      <c r="K12" s="25">
        <f t="shared" si="5"/>
        <v>5.5555555555555552E-2</v>
      </c>
      <c r="L12" s="25">
        <f t="shared" si="6"/>
        <v>6.8493150684931503E-2</v>
      </c>
      <c r="M12" s="25">
        <f t="shared" si="7"/>
        <v>4.6296296296296294E-2</v>
      </c>
      <c r="N12" s="25">
        <f t="shared" si="8"/>
        <v>1.1494252873563218E-2</v>
      </c>
    </row>
    <row r="13" spans="2:14" x14ac:dyDescent="0.15">
      <c r="B13" s="3" t="s">
        <v>70</v>
      </c>
      <c r="C13" s="12">
        <v>11</v>
      </c>
      <c r="D13" s="12">
        <v>12</v>
      </c>
      <c r="E13" s="12">
        <v>13</v>
      </c>
      <c r="F13" s="12">
        <v>14</v>
      </c>
      <c r="G13" s="12">
        <v>15</v>
      </c>
      <c r="I13" s="3" t="s">
        <v>70</v>
      </c>
      <c r="J13" s="25">
        <f>C13/C$28</f>
        <v>0.11458333333333333</v>
      </c>
      <c r="K13" s="25">
        <f t="shared" si="5"/>
        <v>0.13333333333333333</v>
      </c>
      <c r="L13" s="25">
        <f t="shared" si="6"/>
        <v>0.17808219178082191</v>
      </c>
      <c r="M13" s="25">
        <f t="shared" si="7"/>
        <v>0.12962962962962962</v>
      </c>
      <c r="N13" s="25">
        <f t="shared" si="8"/>
        <v>0.17241379310344829</v>
      </c>
    </row>
    <row r="14" spans="2:14" x14ac:dyDescent="0.15">
      <c r="B14" s="11" t="s">
        <v>71</v>
      </c>
      <c r="C14" s="15">
        <f>SUM(C11:C13)</f>
        <v>20</v>
      </c>
      <c r="D14" s="15">
        <f>SUM(D11:D13)</f>
        <v>27</v>
      </c>
      <c r="E14" s="15">
        <f>SUM(E11:E13)</f>
        <v>24</v>
      </c>
      <c r="F14" s="15">
        <f>SUM(F11:F13)</f>
        <v>22</v>
      </c>
      <c r="G14" s="15">
        <f>SUM(G11:G13)</f>
        <v>31</v>
      </c>
      <c r="I14" s="11" t="s">
        <v>71</v>
      </c>
      <c r="J14" s="37">
        <f t="shared" si="4"/>
        <v>0.20833333333333334</v>
      </c>
      <c r="K14" s="37">
        <f t="shared" si="5"/>
        <v>0.3</v>
      </c>
      <c r="L14" s="37">
        <f t="shared" si="6"/>
        <v>0.32876712328767121</v>
      </c>
      <c r="M14" s="37">
        <f t="shared" si="7"/>
        <v>0.20370370370370369</v>
      </c>
      <c r="N14" s="37">
        <f t="shared" si="8"/>
        <v>0.35632183908045978</v>
      </c>
    </row>
    <row r="15" spans="2:14" x14ac:dyDescent="0.15">
      <c r="B15" s="6"/>
      <c r="C15" s="12"/>
      <c r="D15" s="12"/>
      <c r="E15" s="12"/>
      <c r="F15" s="12"/>
      <c r="G15" s="12"/>
      <c r="I15" s="6"/>
      <c r="J15" s="25"/>
      <c r="K15" s="25"/>
      <c r="L15" s="25"/>
      <c r="M15" s="25"/>
      <c r="N15" s="25"/>
    </row>
    <row r="16" spans="2:14" x14ac:dyDescent="0.15">
      <c r="B16" s="3" t="s">
        <v>72</v>
      </c>
      <c r="C16" s="12">
        <v>10</v>
      </c>
      <c r="D16" s="12">
        <v>3</v>
      </c>
      <c r="E16" s="12">
        <v>3</v>
      </c>
      <c r="F16" s="12">
        <v>7</v>
      </c>
      <c r="G16" s="12">
        <v>6</v>
      </c>
      <c r="I16" s="3" t="s">
        <v>72</v>
      </c>
      <c r="J16" s="25">
        <f t="shared" ref="J16:J20" si="9">C16/C$28</f>
        <v>0.10416666666666667</v>
      </c>
      <c r="K16" s="25">
        <f t="shared" ref="K16:K20" si="10">D16/D$28</f>
        <v>3.3333333333333333E-2</v>
      </c>
      <c r="L16" s="25">
        <f t="shared" ref="L16:L20" si="11">E16/E$28</f>
        <v>4.1095890410958902E-2</v>
      </c>
      <c r="M16" s="25">
        <f t="shared" ref="M16:M20" si="12">F16/F$28</f>
        <v>6.4814814814814811E-2</v>
      </c>
      <c r="N16" s="25">
        <f t="shared" ref="N16:N20" si="13">G16/G$28</f>
        <v>6.8965517241379309E-2</v>
      </c>
    </row>
    <row r="17" spans="2:14" x14ac:dyDescent="0.15">
      <c r="B17" s="3" t="s">
        <v>73</v>
      </c>
      <c r="C17" s="12">
        <v>10</v>
      </c>
      <c r="D17" s="12">
        <v>3</v>
      </c>
      <c r="E17" s="12">
        <v>6</v>
      </c>
      <c r="F17" s="12">
        <v>5</v>
      </c>
      <c r="G17" s="12">
        <v>1</v>
      </c>
      <c r="I17" s="3" t="s">
        <v>73</v>
      </c>
      <c r="J17" s="25">
        <f t="shared" si="9"/>
        <v>0.10416666666666667</v>
      </c>
      <c r="K17" s="25">
        <f t="shared" si="10"/>
        <v>3.3333333333333333E-2</v>
      </c>
      <c r="L17" s="25">
        <f t="shared" si="11"/>
        <v>8.2191780821917804E-2</v>
      </c>
      <c r="M17" s="25">
        <f t="shared" si="12"/>
        <v>4.6296296296296294E-2</v>
      </c>
      <c r="N17" s="25">
        <f t="shared" si="13"/>
        <v>1.1494252873563218E-2</v>
      </c>
    </row>
    <row r="18" spans="2:14" x14ac:dyDescent="0.15">
      <c r="B18" s="3" t="s">
        <v>74</v>
      </c>
      <c r="C18" s="12">
        <v>10</v>
      </c>
      <c r="D18" s="12">
        <v>6</v>
      </c>
      <c r="E18" s="12">
        <v>1</v>
      </c>
      <c r="F18" s="12">
        <v>9</v>
      </c>
      <c r="G18" s="12">
        <v>9</v>
      </c>
      <c r="I18" s="3" t="s">
        <v>74</v>
      </c>
      <c r="J18" s="25">
        <f t="shared" si="9"/>
        <v>0.10416666666666667</v>
      </c>
      <c r="K18" s="25">
        <f t="shared" si="10"/>
        <v>6.6666666666666666E-2</v>
      </c>
      <c r="L18" s="25">
        <f t="shared" si="11"/>
        <v>1.3698630136986301E-2</v>
      </c>
      <c r="M18" s="25">
        <f t="shared" si="12"/>
        <v>8.3333333333333329E-2</v>
      </c>
      <c r="N18" s="25">
        <f t="shared" si="13"/>
        <v>0.10344827586206896</v>
      </c>
    </row>
    <row r="19" spans="2:14" x14ac:dyDescent="0.15">
      <c r="B19" s="3" t="s">
        <v>75</v>
      </c>
      <c r="C19" s="12">
        <v>1</v>
      </c>
      <c r="D19" s="12">
        <v>9</v>
      </c>
      <c r="E19" s="12">
        <v>4</v>
      </c>
      <c r="F19" s="12">
        <v>9</v>
      </c>
      <c r="G19" s="12">
        <v>3</v>
      </c>
      <c r="I19" s="3" t="s">
        <v>75</v>
      </c>
      <c r="J19" s="25">
        <f t="shared" si="9"/>
        <v>1.0416666666666666E-2</v>
      </c>
      <c r="K19" s="25">
        <f t="shared" si="10"/>
        <v>0.1</v>
      </c>
      <c r="L19" s="25">
        <f t="shared" si="11"/>
        <v>5.4794520547945202E-2</v>
      </c>
      <c r="M19" s="25">
        <f t="shared" si="12"/>
        <v>8.3333333333333329E-2</v>
      </c>
      <c r="N19" s="25">
        <f t="shared" si="13"/>
        <v>3.4482758620689655E-2</v>
      </c>
    </row>
    <row r="20" spans="2:14" x14ac:dyDescent="0.15">
      <c r="B20" s="11" t="s">
        <v>76</v>
      </c>
      <c r="C20" s="15">
        <f>SUM(C16:C19)</f>
        <v>31</v>
      </c>
      <c r="D20" s="15">
        <f t="shared" ref="D20:G20" si="14">SUM(D16:D19)</f>
        <v>21</v>
      </c>
      <c r="E20" s="15">
        <f t="shared" si="14"/>
        <v>14</v>
      </c>
      <c r="F20" s="15">
        <f t="shared" si="14"/>
        <v>30</v>
      </c>
      <c r="G20" s="15">
        <f t="shared" si="14"/>
        <v>19</v>
      </c>
      <c r="I20" s="11" t="s">
        <v>76</v>
      </c>
      <c r="J20" s="37">
        <f t="shared" si="9"/>
        <v>0.32291666666666669</v>
      </c>
      <c r="K20" s="37">
        <f t="shared" si="10"/>
        <v>0.23333333333333334</v>
      </c>
      <c r="L20" s="37">
        <f t="shared" si="11"/>
        <v>0.19178082191780821</v>
      </c>
      <c r="M20" s="37">
        <f t="shared" si="12"/>
        <v>0.27777777777777779</v>
      </c>
      <c r="N20" s="37">
        <f t="shared" si="13"/>
        <v>0.21839080459770116</v>
      </c>
    </row>
    <row r="21" spans="2:14" x14ac:dyDescent="0.15">
      <c r="B21" s="6"/>
      <c r="C21" s="12"/>
      <c r="D21" s="12"/>
      <c r="E21" s="12"/>
      <c r="F21" s="12"/>
      <c r="G21" s="12"/>
      <c r="I21" s="6"/>
      <c r="J21" s="25"/>
      <c r="K21" s="25"/>
      <c r="L21" s="25"/>
      <c r="M21" s="25"/>
      <c r="N21" s="25"/>
    </row>
    <row r="22" spans="2:14" x14ac:dyDescent="0.15">
      <c r="B22" s="3" t="s">
        <v>77</v>
      </c>
      <c r="C22" s="12">
        <v>7</v>
      </c>
      <c r="D22" s="12">
        <v>5</v>
      </c>
      <c r="E22" s="12">
        <v>1</v>
      </c>
      <c r="F22" s="12">
        <v>2</v>
      </c>
      <c r="G22" s="12">
        <v>1</v>
      </c>
      <c r="I22" s="3" t="s">
        <v>77</v>
      </c>
      <c r="J22" s="25">
        <f t="shared" ref="J22:J25" si="15">C22/C$28</f>
        <v>7.2916666666666671E-2</v>
      </c>
      <c r="K22" s="25">
        <f t="shared" ref="K22:K25" si="16">D22/D$28</f>
        <v>5.5555555555555552E-2</v>
      </c>
      <c r="L22" s="25">
        <f t="shared" ref="L22:L25" si="17">E22/E$28</f>
        <v>1.3698630136986301E-2</v>
      </c>
      <c r="M22" s="25">
        <f t="shared" ref="M22:M25" si="18">F22/F$28</f>
        <v>1.8518518518518517E-2</v>
      </c>
      <c r="N22" s="25">
        <f t="shared" ref="N22:N25" si="19">G22/G$28</f>
        <v>1.1494252873563218E-2</v>
      </c>
    </row>
    <row r="23" spans="2:14" x14ac:dyDescent="0.15">
      <c r="B23" s="3" t="s">
        <v>78</v>
      </c>
      <c r="C23" s="12">
        <v>5</v>
      </c>
      <c r="D23" s="12">
        <v>1</v>
      </c>
      <c r="E23" s="12">
        <v>3</v>
      </c>
      <c r="F23" s="12">
        <v>1</v>
      </c>
      <c r="G23" s="12">
        <v>7</v>
      </c>
      <c r="I23" s="3" t="s">
        <v>78</v>
      </c>
      <c r="J23" s="25">
        <f t="shared" si="15"/>
        <v>5.2083333333333336E-2</v>
      </c>
      <c r="K23" s="25">
        <f t="shared" si="16"/>
        <v>1.1111111111111112E-2</v>
      </c>
      <c r="L23" s="25">
        <f t="shared" si="17"/>
        <v>4.1095890410958902E-2</v>
      </c>
      <c r="M23" s="25">
        <f t="shared" si="18"/>
        <v>9.2592592592592587E-3</v>
      </c>
      <c r="N23" s="25">
        <f t="shared" si="19"/>
        <v>8.0459770114942528E-2</v>
      </c>
    </row>
    <row r="24" spans="2:14" x14ac:dyDescent="0.15">
      <c r="B24" s="3" t="s">
        <v>79</v>
      </c>
      <c r="C24" s="12">
        <v>3</v>
      </c>
      <c r="D24" s="12">
        <v>6</v>
      </c>
      <c r="E24" s="12">
        <v>7</v>
      </c>
      <c r="F24" s="12">
        <v>10</v>
      </c>
      <c r="G24" s="12">
        <v>10</v>
      </c>
      <c r="I24" s="3" t="s">
        <v>79</v>
      </c>
      <c r="J24" s="25">
        <f t="shared" si="15"/>
        <v>3.125E-2</v>
      </c>
      <c r="K24" s="25">
        <f t="shared" si="16"/>
        <v>6.6666666666666666E-2</v>
      </c>
      <c r="L24" s="25">
        <f t="shared" si="17"/>
        <v>9.5890410958904104E-2</v>
      </c>
      <c r="M24" s="25">
        <f t="shared" si="18"/>
        <v>9.2592592592592587E-2</v>
      </c>
      <c r="N24" s="25">
        <f t="shared" si="19"/>
        <v>0.11494252873563218</v>
      </c>
    </row>
    <row r="25" spans="2:14" x14ac:dyDescent="0.15">
      <c r="B25" s="11" t="s">
        <v>80</v>
      </c>
      <c r="C25" s="15">
        <f>SUM(C22:C24)</f>
        <v>15</v>
      </c>
      <c r="D25" s="15">
        <f t="shared" ref="D25:G25" si="20">SUM(D22:D24)</f>
        <v>12</v>
      </c>
      <c r="E25" s="15">
        <f t="shared" si="20"/>
        <v>11</v>
      </c>
      <c r="F25" s="15">
        <f t="shared" si="20"/>
        <v>13</v>
      </c>
      <c r="G25" s="15">
        <f t="shared" si="20"/>
        <v>18</v>
      </c>
      <c r="I25" s="11" t="s">
        <v>80</v>
      </c>
      <c r="J25" s="37">
        <f t="shared" si="15"/>
        <v>0.15625</v>
      </c>
      <c r="K25" s="37">
        <f t="shared" si="16"/>
        <v>0.13333333333333333</v>
      </c>
      <c r="L25" s="37">
        <f t="shared" si="17"/>
        <v>0.15068493150684931</v>
      </c>
      <c r="M25" s="37">
        <f t="shared" si="18"/>
        <v>0.12037037037037036</v>
      </c>
      <c r="N25" s="37">
        <f t="shared" si="19"/>
        <v>0.20689655172413793</v>
      </c>
    </row>
    <row r="26" spans="2:14" x14ac:dyDescent="0.15">
      <c r="B26" s="6"/>
      <c r="C26" s="12"/>
      <c r="D26" s="12"/>
      <c r="E26" s="12"/>
      <c r="F26" s="12"/>
      <c r="G26" s="12"/>
      <c r="I26" s="6"/>
      <c r="J26" s="25"/>
      <c r="K26" s="25"/>
      <c r="L26" s="25"/>
      <c r="M26" s="25"/>
      <c r="N26" s="25"/>
    </row>
    <row r="27" spans="2:14" x14ac:dyDescent="0.15">
      <c r="B27" s="3" t="s">
        <v>81</v>
      </c>
      <c r="C27" s="12">
        <v>7</v>
      </c>
      <c r="D27" s="12">
        <v>5</v>
      </c>
      <c r="E27" s="12">
        <v>11</v>
      </c>
      <c r="F27" s="12">
        <v>2</v>
      </c>
      <c r="G27" s="12">
        <v>1</v>
      </c>
      <c r="I27" s="3" t="s">
        <v>81</v>
      </c>
      <c r="J27" s="25">
        <f>C27/C$28</f>
        <v>7.2916666666666671E-2</v>
      </c>
      <c r="K27" s="25">
        <f>D27/D$28</f>
        <v>5.5555555555555552E-2</v>
      </c>
      <c r="L27" s="25">
        <f>E27/E$28</f>
        <v>0.15068493150684931</v>
      </c>
      <c r="M27" s="25">
        <f>F27/F$28</f>
        <v>1.8518518518518517E-2</v>
      </c>
      <c r="N27" s="25">
        <f>G27/G$28</f>
        <v>1.1494252873563218E-2</v>
      </c>
    </row>
    <row r="28" spans="2:14" s="6" customFormat="1" x14ac:dyDescent="0.15">
      <c r="B28" s="21" t="s">
        <v>63</v>
      </c>
      <c r="C28" s="22">
        <f>C9+C14+C20+C25+C27</f>
        <v>96</v>
      </c>
      <c r="D28" s="22">
        <f t="shared" ref="D28:G28" si="21">D9+D14+D20+D25+D27</f>
        <v>90</v>
      </c>
      <c r="E28" s="22">
        <f t="shared" si="21"/>
        <v>73</v>
      </c>
      <c r="F28" s="22">
        <f t="shared" si="21"/>
        <v>108</v>
      </c>
      <c r="G28" s="22">
        <f t="shared" si="21"/>
        <v>87</v>
      </c>
      <c r="I28" s="17" t="s">
        <v>41</v>
      </c>
      <c r="J28" s="36">
        <f>SUM(J6:J8,J11:J13,J16:J19,J22:J24,J27)</f>
        <v>0.99999999999999978</v>
      </c>
      <c r="K28" s="36">
        <f t="shared" ref="K28:N28" si="22">SUM(K6:K8,K11:K13,K16:K19,K22:K24,K27)</f>
        <v>0.99999999999999989</v>
      </c>
      <c r="L28" s="36">
        <f t="shared" si="22"/>
        <v>0.99999999999999978</v>
      </c>
      <c r="M28" s="36">
        <f t="shared" si="22"/>
        <v>0.99999999999999989</v>
      </c>
      <c r="N28" s="36">
        <f t="shared" si="22"/>
        <v>0.99999999999999989</v>
      </c>
    </row>
  </sheetData>
  <conditionalFormatting sqref="J28:N28">
    <cfRule type="cellIs" dxfId="2" priority="1" operator="equal">
      <formula>1</formula>
    </cfRule>
    <cfRule type="cellIs" dxfId="1" priority="2" operator="greaterThan">
      <formula>1</formula>
    </cfRule>
    <cfRule type="cellIs" dxfId="0" priority="3" operator="lessThan">
      <formula>1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Extended P&amp;L</vt:lpstr>
      <vt:lpstr>Revenue breakdown</vt:lpstr>
      <vt:lpstr>Cost of good sold breakdown</vt:lpstr>
      <vt:lpstr>Operating expenses breakdown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Due Diligence extended income statement</dc:title>
  <dc:subject>income statement</dc:subject>
  <dc:creator>Slideworks</dc:creator>
  <cp:keywords>due diligence, m&amp;a, consulting powerpoints, financial models</cp:keywords>
  <dc:description>Copyright of Slideworks.io. Any unauthorized distribution prohibited. See our full terms and conditions at https://slideworks.io/terms </dc:description>
  <cp:lastModifiedBy>Microsoft Office User</cp:lastModifiedBy>
  <dcterms:created xsi:type="dcterms:W3CDTF">2024-07-05T09:53:14Z</dcterms:created>
  <dcterms:modified xsi:type="dcterms:W3CDTF">2025-01-15T11:53:58Z</dcterms:modified>
  <cp:category>due diligence</cp:category>
</cp:coreProperties>
</file>